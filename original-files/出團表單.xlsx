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暱稱" sheetId="1" r:id="rId4"/>
    <sheet state="visible" name="裝等表" sheetId="2" r:id="rId5"/>
    <sheet state="visible" name="象牙塔" sheetId="3" r:id="rId6"/>
    <sheet state="visible" name="卡門" sheetId="4" r:id="rId7"/>
    <sheet state="visible" name="初魅" sheetId="5" r:id="rId8"/>
    <sheet state="visible" name="瘟疫" sheetId="6" r:id="rId9"/>
    <sheet state="visible" name="「領地製作」的副本" sheetId="7" r:id="rId10"/>
    <sheet state="visible" name="頂級奧力哈計算機" sheetId="8" r:id="rId11"/>
    <sheet state="visible" name="5688" sheetId="9" r:id="rId12"/>
    <sheet state="hidden" name="收益金計算" sheetId="10" r:id="rId13"/>
    <sheet state="hidden" name="前言" sheetId="11" r:id="rId14"/>
    <sheet state="hidden" name="1.快速20島之心" sheetId="12" r:id="rId15"/>
    <sheet state="hidden" name="2.巨人之心" sheetId="13" r:id="rId16"/>
    <sheet state="hidden" name="3.奧菲斯之星" sheetId="14" r:id="rId17"/>
    <sheet state="hidden" name="艾波娜委託" sheetId="15" r:id="rId18"/>
  </sheets>
  <definedNames>
    <definedName hidden="1" localSheetId="14" name="_xlnm._FilterDatabase">'艾波娜委託'!$A$1:$H$1000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
      <text>
        <t xml:space="preserve">牛</t>
      </text>
    </comment>
    <comment authorId="0" ref="L7">
      <text>
        <t xml:space="preserve">牛</t>
      </text>
    </comment>
    <comment authorId="0" ref="N7">
      <text>
        <t xml:space="preserve">牛</t>
      </text>
    </comment>
    <comment authorId="0" ref="P7">
      <text>
        <t xml:space="preserve">牛</t>
      </text>
    </comment>
    <comment authorId="0" ref="R7">
      <text>
        <t xml:space="preserve">牛</t>
      </text>
    </comment>
    <comment authorId="0" ref="T7">
      <text>
        <t xml:space="preserve">牛</t>
      </text>
    </comment>
    <comment authorId="0" ref="J8">
      <text>
        <t xml:space="preserve">魅</t>
      </text>
    </comment>
    <comment authorId="0" ref="L8">
      <text>
        <t xml:space="preserve">魅</t>
      </text>
    </comment>
    <comment authorId="0" ref="N8">
      <text>
        <t xml:space="preserve">魅</t>
      </text>
    </comment>
    <comment authorId="0" ref="P8">
      <text>
        <t xml:space="preserve">魅</t>
      </text>
    </comment>
    <comment authorId="0" ref="R8">
      <text>
        <t xml:space="preserve">魅</t>
      </text>
    </comment>
    <comment authorId="0" ref="T8">
      <text>
        <t xml:space="preserve">魅</t>
      </text>
    </comment>
    <comment authorId="0" ref="J9">
      <text>
        <t xml:space="preserve">丑</t>
      </text>
    </comment>
    <comment authorId="0" ref="L9">
      <text>
        <t xml:space="preserve">丑</t>
      </text>
    </comment>
    <comment authorId="0" ref="N9">
      <text>
        <t xml:space="preserve">丑</t>
      </text>
    </comment>
    <comment authorId="0" ref="P9">
      <text>
        <t xml:space="preserve">丑</t>
      </text>
    </comment>
    <comment authorId="0" ref="R9">
      <text>
        <t xml:space="preserve">丑</t>
      </text>
    </comment>
    <comment authorId="0" ref="T9">
      <text>
        <t xml:space="preserve">丑</t>
      </text>
    </comment>
    <comment authorId="0" ref="J10">
      <text>
        <t xml:space="preserve">夢幻</t>
      </text>
    </comment>
    <comment authorId="0" ref="L10">
      <text>
        <t xml:space="preserve">夢幻</t>
      </text>
    </comment>
    <comment authorId="0" ref="N10">
      <text>
        <t xml:space="preserve">夢幻</t>
      </text>
    </comment>
    <comment authorId="0" ref="P10">
      <text>
        <t xml:space="preserve">夢幻</t>
      </text>
    </comment>
    <comment authorId="0" ref="R10">
      <text>
        <t xml:space="preserve">夢幻</t>
      </text>
    </comment>
    <comment authorId="0" ref="T10">
      <text>
        <t xml:space="preserve">夢幻</t>
      </text>
    </comment>
    <comment authorId="0" ref="J11">
      <text>
        <t xml:space="preserve">夢幻G4</t>
      </text>
    </comment>
    <comment authorId="0" ref="L11">
      <text>
        <t xml:space="preserve">夢幻G4</t>
      </text>
    </comment>
    <comment authorId="0" ref="N11">
      <text>
        <t xml:space="preserve">夢幻G4</t>
      </text>
    </comment>
    <comment authorId="0" ref="P11">
      <text>
        <t xml:space="preserve">夢幻G4</t>
      </text>
    </comment>
    <comment authorId="0" ref="R11">
      <text>
        <t xml:space="preserve">夢幻G4</t>
      </text>
    </comment>
    <comment authorId="0" ref="T11">
      <text>
        <t xml:space="preserve">夢幻G4</t>
      </text>
    </comment>
    <comment authorId="0" ref="J12">
      <text>
        <t xml:space="preserve">天界</t>
      </text>
    </comment>
    <comment authorId="0" ref="L12">
      <text>
        <t xml:space="preserve">天界</t>
      </text>
    </comment>
    <comment authorId="0" ref="N12">
      <text>
        <t xml:space="preserve">天界</t>
      </text>
    </comment>
    <comment authorId="0" ref="P12">
      <text>
        <t xml:space="preserve">天界</t>
      </text>
    </comment>
    <comment authorId="0" ref="R12">
      <text>
        <t xml:space="preserve">天界</t>
      </text>
    </comment>
    <comment authorId="0" ref="T12">
      <text>
        <t xml:space="preserve">天界</t>
      </text>
    </comment>
    <comment authorId="0" ref="J21">
      <text>
        <t xml:space="preserve">牛</t>
      </text>
    </comment>
    <comment authorId="0" ref="L21">
      <text>
        <t xml:space="preserve">牛</t>
      </text>
    </comment>
    <comment authorId="0" ref="N21">
      <text>
        <t xml:space="preserve">牛</t>
      </text>
    </comment>
    <comment authorId="0" ref="P21">
      <text>
        <t xml:space="preserve">牛</t>
      </text>
    </comment>
    <comment authorId="0" ref="R21">
      <text>
        <t xml:space="preserve">牛</t>
      </text>
    </comment>
    <comment authorId="0" ref="T21">
      <text>
        <t xml:space="preserve">牛</t>
      </text>
    </comment>
    <comment authorId="0" ref="J22">
      <text>
        <t xml:space="preserve">魅</t>
      </text>
    </comment>
    <comment authorId="0" ref="L22">
      <text>
        <t xml:space="preserve">魅</t>
      </text>
    </comment>
    <comment authorId="0" ref="N22">
      <text>
        <t xml:space="preserve">魅</t>
      </text>
    </comment>
    <comment authorId="0" ref="P22">
      <text>
        <t xml:space="preserve">魅</t>
      </text>
    </comment>
    <comment authorId="0" ref="R22">
      <text>
        <t xml:space="preserve">魅</t>
      </text>
    </comment>
    <comment authorId="0" ref="T22">
      <text>
        <t xml:space="preserve">魅</t>
      </text>
    </comment>
    <comment authorId="0" ref="J23">
      <text>
        <t xml:space="preserve">丑</t>
      </text>
    </comment>
    <comment authorId="0" ref="L23">
      <text>
        <t xml:space="preserve">丑</t>
      </text>
    </comment>
    <comment authorId="0" ref="N23">
      <text>
        <t xml:space="preserve">丑</t>
      </text>
    </comment>
    <comment authorId="0" ref="P23">
      <text>
        <t xml:space="preserve">丑</t>
      </text>
    </comment>
    <comment authorId="0" ref="R23">
      <text>
        <t xml:space="preserve">丑</t>
      </text>
    </comment>
    <comment authorId="0" ref="T23">
      <text>
        <t xml:space="preserve">丑</t>
      </text>
    </comment>
    <comment authorId="0" ref="J24">
      <text>
        <t xml:space="preserve">夢幻</t>
      </text>
    </comment>
    <comment authorId="0" ref="L24">
      <text>
        <t xml:space="preserve">夢幻</t>
      </text>
    </comment>
    <comment authorId="0" ref="N24">
      <text>
        <t xml:space="preserve">夢幻</t>
      </text>
    </comment>
    <comment authorId="0" ref="P24">
      <text>
        <t xml:space="preserve">夢幻</t>
      </text>
    </comment>
    <comment authorId="0" ref="R24">
      <text>
        <t xml:space="preserve">夢幻</t>
      </text>
    </comment>
    <comment authorId="0" ref="T24">
      <text>
        <t xml:space="preserve">夢幻</t>
      </text>
    </comment>
    <comment authorId="0" ref="J25">
      <text>
        <t xml:space="preserve">夢幻G4</t>
      </text>
    </comment>
    <comment authorId="0" ref="L25">
      <text>
        <t xml:space="preserve">夢幻G4</t>
      </text>
    </comment>
    <comment authorId="0" ref="N25">
      <text>
        <t xml:space="preserve">夢幻G4</t>
      </text>
    </comment>
    <comment authorId="0" ref="P25">
      <text>
        <t xml:space="preserve">夢幻G4</t>
      </text>
    </comment>
    <comment authorId="0" ref="R25">
      <text>
        <t xml:space="preserve">夢幻G4</t>
      </text>
    </comment>
    <comment authorId="0" ref="T25">
      <text>
        <t xml:space="preserve">夢幻G4</t>
      </text>
    </comment>
    <comment authorId="0" ref="J26">
      <text>
        <t xml:space="preserve">天界</t>
      </text>
    </comment>
    <comment authorId="0" ref="L26">
      <text>
        <t xml:space="preserve">天界</t>
      </text>
    </comment>
    <comment authorId="0" ref="N26">
      <text>
        <t xml:space="preserve">天界</t>
      </text>
    </comment>
    <comment authorId="0" ref="P26">
      <text>
        <t xml:space="preserve">天界</t>
      </text>
    </comment>
    <comment authorId="0" ref="R26">
      <text>
        <t xml:space="preserve">天界</t>
      </text>
    </comment>
    <comment authorId="0" ref="T26">
      <text>
        <t xml:space="preserve">天界</t>
      </text>
    </comment>
  </commentList>
</comments>
</file>

<file path=xl/sharedStrings.xml><?xml version="1.0" encoding="utf-8"?>
<sst xmlns="http://schemas.openxmlformats.org/spreadsheetml/2006/main" count="2856" uniqueCount="813">
  <si>
    <t>名稱儲存區（請勿複製貼上）</t>
  </si>
  <si>
    <t>暱稱</t>
  </si>
  <si>
    <t>週一</t>
  </si>
  <si>
    <t>週二</t>
  </si>
  <si>
    <t>週三</t>
  </si>
  <si>
    <t>週四</t>
  </si>
  <si>
    <t>週五</t>
  </si>
  <si>
    <t>週六</t>
  </si>
  <si>
    <t>週日</t>
  </si>
  <si>
    <r>
      <rPr>
        <rFont val="Arial"/>
        <color theme="1"/>
        <sz val="15.0"/>
      </rPr>
      <t>鑒於我腦容量嚴重不足，請幫我在左邊寫下你的呱暱稱
並在其右方寫下能夠打本的時間，無則打X
完成後請到excel左下方切換</t>
    </r>
    <r>
      <rPr>
        <rFont val="Arial"/>
        <color rgb="FFFF0000"/>
        <sz val="15.0"/>
      </rPr>
      <t>裝等表</t>
    </r>
    <r>
      <rPr>
        <rFont val="Arial"/>
        <color theme="1"/>
        <sz val="15.0"/>
      </rPr>
      <t>填上要排的角色ID、裝等、職業
不跟的副本請在該角色跟副本之間的"</t>
    </r>
    <r>
      <rPr>
        <rFont val="Arial"/>
        <color rgb="FFCC0000"/>
        <sz val="15.0"/>
      </rPr>
      <t>口</t>
    </r>
    <r>
      <rPr>
        <rFont val="Arial"/>
        <color theme="1"/>
        <sz val="15.0"/>
      </rPr>
      <t>"按下"</t>
    </r>
    <r>
      <rPr>
        <rFont val="Arial"/>
        <color rgb="FFFF0000"/>
        <sz val="15.0"/>
      </rPr>
      <t>delete</t>
    </r>
    <r>
      <rPr>
        <rFont val="Arial"/>
        <color theme="1"/>
        <sz val="15.0"/>
      </rPr>
      <t>"
要排的副本可以複製其他的人"</t>
    </r>
    <r>
      <rPr>
        <rFont val="Arial"/>
        <color rgb="FFEA4335"/>
        <sz val="15.0"/>
      </rPr>
      <t>口</t>
    </r>
    <r>
      <rPr>
        <rFont val="Arial"/>
        <color theme="1"/>
        <sz val="15.0"/>
      </rPr>
      <t>"然後貼上
請</t>
    </r>
    <r>
      <rPr>
        <rFont val="Arial"/>
        <color rgb="FFFF0000"/>
        <sz val="15.0"/>
      </rPr>
      <t xml:space="preserve">不要打勾
</t>
    </r>
    <r>
      <rPr>
        <rFont val="Arial"/>
        <color theme="1"/>
        <sz val="15.0"/>
      </rPr>
      <t xml:space="preserve">
排團時間我再安排
目前以天界、瘟疫、象牙塔、卡門排本
其餘自行揪團或找野
如要更動時間角色等等，請在</t>
    </r>
    <r>
      <rPr>
        <rFont val="Arial"/>
        <color rgb="FFFF0000"/>
        <sz val="15.0"/>
      </rPr>
      <t>週三之前</t>
    </r>
    <r>
      <rPr>
        <rFont val="Arial"/>
        <color theme="1"/>
        <sz val="15.0"/>
      </rPr>
      <t>完成或先行告知，星期四早上我方便調整</t>
    </r>
  </si>
  <si>
    <t>羊</t>
  </si>
  <si>
    <t>X</t>
  </si>
  <si>
    <t>元</t>
  </si>
  <si>
    <t>20-02</t>
  </si>
  <si>
    <t>羊婆婆</t>
  </si>
  <si>
    <t>20-24</t>
  </si>
  <si>
    <t>00-24</t>
  </si>
  <si>
    <t>MC哈豆</t>
  </si>
  <si>
    <t>19-00</t>
  </si>
  <si>
    <t>雞頭</t>
  </si>
  <si>
    <t>22-03</t>
  </si>
  <si>
    <t>21-03</t>
  </si>
  <si>
    <t>15-03</t>
  </si>
  <si>
    <t>愛冬眠的貓</t>
  </si>
  <si>
    <t>20-03</t>
  </si>
  <si>
    <t>鴨</t>
  </si>
  <si>
    <t>小郭</t>
  </si>
  <si>
    <t>20-00</t>
  </si>
  <si>
    <t>13-00</t>
  </si>
  <si>
    <t>阿飄</t>
  </si>
  <si>
    <t>19-03</t>
  </si>
  <si>
    <t>雅里琴</t>
  </si>
  <si>
    <t>22-24</t>
  </si>
  <si>
    <t>14-24</t>
  </si>
  <si>
    <t>14-22</t>
  </si>
  <si>
    <t>學弟</t>
  </si>
  <si>
    <t>x</t>
  </si>
  <si>
    <t>15-24</t>
  </si>
  <si>
    <t>15-22</t>
  </si>
  <si>
    <t>漢克</t>
  </si>
  <si>
    <t>20-23</t>
  </si>
  <si>
    <t>毛</t>
  </si>
  <si>
    <t>19-01</t>
  </si>
  <si>
    <t>19-21</t>
  </si>
  <si>
    <t>18-03</t>
  </si>
  <si>
    <t>18-01</t>
  </si>
  <si>
    <t>len</t>
  </si>
  <si>
    <t>23-03</t>
  </si>
  <si>
    <t>土星</t>
  </si>
  <si>
    <t>燴飯</t>
  </si>
  <si>
    <t xml:space="preserve"> </t>
  </si>
  <si>
    <t>名稱</t>
  </si>
  <si>
    <t>角色</t>
  </si>
  <si>
    <t>職業</t>
  </si>
  <si>
    <t>裝等</t>
  </si>
  <si>
    <t>瘟疫</t>
  </si>
  <si>
    <t>象牙塔</t>
  </si>
  <si>
    <t>卡門</t>
  </si>
  <si>
    <t>初魅</t>
  </si>
  <si>
    <t>這羊很危險</t>
  </si>
  <si>
    <t>槍術士</t>
  </si>
  <si>
    <t>格鬥大師</t>
  </si>
  <si>
    <t>焱烽</t>
  </si>
  <si>
    <t>鬥士</t>
  </si>
  <si>
    <t>這羊太危險</t>
  </si>
  <si>
    <t>聖騎士</t>
  </si>
  <si>
    <t>段起厝</t>
  </si>
  <si>
    <t>畫家</t>
  </si>
  <si>
    <t>焱爍</t>
  </si>
  <si>
    <t>噬魂者</t>
  </si>
  <si>
    <t>蕭董</t>
  </si>
  <si>
    <t>筆型態456</t>
  </si>
  <si>
    <t>焱爔</t>
  </si>
  <si>
    <t>氣象術士</t>
  </si>
  <si>
    <t>五十塊</t>
  </si>
  <si>
    <t>羊村農夫乙武洋傑</t>
  </si>
  <si>
    <t>焱燐</t>
  </si>
  <si>
    <t>影殺者</t>
  </si>
  <si>
    <t>高冷阿元</t>
  </si>
  <si>
    <t>焱炘</t>
  </si>
  <si>
    <t>召喚師</t>
  </si>
  <si>
    <t>滑稽阿蛋</t>
  </si>
  <si>
    <t>神槍手</t>
  </si>
  <si>
    <t>修羅阿霖</t>
  </si>
  <si>
    <t>拳剎</t>
  </si>
  <si>
    <t>焱燼</t>
  </si>
  <si>
    <t>惡魔獵手</t>
  </si>
  <si>
    <t>DoReMiFaS</t>
  </si>
  <si>
    <t>吟遊詩人</t>
  </si>
  <si>
    <t>樓上的房東</t>
  </si>
  <si>
    <t>女巫</t>
  </si>
  <si>
    <t>飄飄兒</t>
  </si>
  <si>
    <t>氣功師</t>
  </si>
  <si>
    <t>髒藝術家</t>
  </si>
  <si>
    <t>隨風飄</t>
  </si>
  <si>
    <t>刀鋒</t>
  </si>
  <si>
    <t>這是差不多先生</t>
  </si>
  <si>
    <t>槍炮大師</t>
  </si>
  <si>
    <t>Seraphiel</t>
  </si>
  <si>
    <t>幻獸師</t>
  </si>
  <si>
    <t>雪Distance</t>
  </si>
  <si>
    <t>Cascade</t>
  </si>
  <si>
    <t>MC來了</t>
  </si>
  <si>
    <t>Scythe</t>
  </si>
  <si>
    <t>除了說唱什麼都不會</t>
  </si>
  <si>
    <t>Warlord</t>
  </si>
  <si>
    <t>Sin`Envy</t>
  </si>
  <si>
    <t>Sin`Ryan</t>
  </si>
  <si>
    <t>Sins`aced</t>
  </si>
  <si>
    <t>Starfall</t>
  </si>
  <si>
    <t>1600(DPS)</t>
  </si>
  <si>
    <t>喜多川海豹</t>
  </si>
  <si>
    <t>屠殺者</t>
  </si>
  <si>
    <t>雞頭哥</t>
  </si>
  <si>
    <t>阿匹婆豹破</t>
  </si>
  <si>
    <t>雀頭妹</t>
  </si>
  <si>
    <t>水墨豹卡索</t>
  </si>
  <si>
    <t>鴨頭弟</t>
  </si>
  <si>
    <t>安可小海豹</t>
  </si>
  <si>
    <t>鵜頭姐</t>
  </si>
  <si>
    <t>硬漢小海豹</t>
  </si>
  <si>
    <t>督軍</t>
  </si>
  <si>
    <t>鷃頭兄</t>
  </si>
  <si>
    <t>只想槌豹你</t>
  </si>
  <si>
    <t>毀滅者</t>
  </si>
  <si>
    <t>鵝頭爹</t>
  </si>
  <si>
    <t>妹來修桿某</t>
  </si>
  <si>
    <t>衾澄</t>
  </si>
  <si>
    <t>愛吃芒果的貓</t>
  </si>
  <si>
    <t>黯雪o</t>
  </si>
  <si>
    <t>芮曦</t>
  </si>
  <si>
    <t>愛吃櫻桃的貓</t>
  </si>
  <si>
    <t>日向丶春</t>
  </si>
  <si>
    <t>逝月</t>
  </si>
  <si>
    <t>愛吃西瓜的貓</t>
  </si>
  <si>
    <t>1620?</t>
  </si>
  <si>
    <t>這之差3件20 可排後面點</t>
  </si>
  <si>
    <t>日向丶紗耶</t>
  </si>
  <si>
    <t>暮靄</t>
  </si>
  <si>
    <t>偵察士</t>
  </si>
  <si>
    <t>愛吃草莓的貓</t>
  </si>
  <si>
    <t>叛逆少女丶黯</t>
  </si>
  <si>
    <t>歐雷諾堂</t>
  </si>
  <si>
    <t>卡牌魔術師</t>
  </si>
  <si>
    <t>愛吃柑橘的貓</t>
  </si>
  <si>
    <t>戀</t>
  </si>
  <si>
    <t>堅毅詠嘆調</t>
  </si>
  <si>
    <t>呱YAZI</t>
  </si>
  <si>
    <t>小小</t>
  </si>
  <si>
    <t>狂犬艾莉絲</t>
  </si>
  <si>
    <t>呱YAZI呱</t>
  </si>
  <si>
    <t>鷹眼</t>
  </si>
  <si>
    <t>阿姆羅o</t>
  </si>
  <si>
    <t>半魔人</t>
  </si>
  <si>
    <t>鴨子YAZI呱</t>
  </si>
  <si>
    <t>阿姆蘿莉控</t>
  </si>
  <si>
    <t>鴨子Yazi</t>
  </si>
  <si>
    <t>阿姆羅x</t>
  </si>
  <si>
    <t>鴨子呱YAZI</t>
  </si>
  <si>
    <t>洛琪希</t>
  </si>
  <si>
    <t>YAZI呱</t>
  </si>
  <si>
    <t>阿姆羅莉控</t>
  </si>
  <si>
    <t>女巫殿下</t>
  </si>
  <si>
    <t>娜卡</t>
  </si>
  <si>
    <t>泰猛拉</t>
  </si>
  <si>
    <t>砲台MAX</t>
  </si>
  <si>
    <t>芹波佳里</t>
  </si>
  <si>
    <t>剝殼的茶葉蛋</t>
  </si>
  <si>
    <t>緋洛</t>
  </si>
  <si>
    <t>脫殼的茶葉蛋</t>
  </si>
  <si>
    <t>芮托菈蕾</t>
  </si>
  <si>
    <t>茶蛋糕</t>
  </si>
  <si>
    <t>妲希</t>
  </si>
  <si>
    <t>畫廊小妹</t>
  </si>
  <si>
    <t>林漢克</t>
  </si>
  <si>
    <t>小毛呼呼</t>
  </si>
  <si>
    <t>艾倫和桔梗</t>
  </si>
  <si>
    <t>林漢克2</t>
  </si>
  <si>
    <t>小毛茸茸</t>
  </si>
  <si>
    <t>歐金津</t>
  </si>
  <si>
    <t>林漢克3</t>
  </si>
  <si>
    <t>小毛知知</t>
  </si>
  <si>
    <t>林漢克4</t>
  </si>
  <si>
    <t>小毛眠眠</t>
  </si>
  <si>
    <t>林漢克5</t>
  </si>
  <si>
    <t>小毛盹盹</t>
  </si>
  <si>
    <t>漢克桑</t>
  </si>
  <si>
    <t>小毛毛雨</t>
  </si>
  <si>
    <t>千雪嵐霜</t>
  </si>
  <si>
    <t>今天早點睡</t>
  </si>
  <si>
    <t>乳香世家好喝一百趴</t>
  </si>
  <si>
    <t>狗蕉什麼</t>
  </si>
  <si>
    <t>HolyHoly</t>
  </si>
  <si>
    <t>玩個雞錘</t>
  </si>
  <si>
    <t>拳霸</t>
  </si>
  <si>
    <t>花落寒霜</t>
  </si>
  <si>
    <r>
      <rPr>
        <rFont val="Arial"/>
        <color theme="1"/>
        <sz val="14.0"/>
      </rPr>
      <t>藤井飯</t>
    </r>
    <r>
      <rPr>
        <rFont val="Arial"/>
        <color theme="1"/>
        <sz val="8.0"/>
      </rPr>
      <t>(強烈希望能跟阿飄一起打)</t>
    </r>
  </si>
  <si>
    <t>乳香世家好喝一直喝</t>
  </si>
  <si>
    <t>Tony汏水</t>
  </si>
  <si>
    <t>彩云追月</t>
  </si>
  <si>
    <t>把最甜的都給妳</t>
  </si>
  <si>
    <t>失眠是一種病</t>
  </si>
  <si>
    <t>貧民百萬歌星</t>
  </si>
  <si>
    <t>可夢</t>
  </si>
  <si>
    <t>貧民百萬男孩</t>
  </si>
  <si>
    <t>再見Hip-Hop</t>
  </si>
  <si>
    <t>嘻哈沒有派對</t>
  </si>
  <si>
    <t>輕熟女27</t>
  </si>
  <si>
    <t xml:space="preserve">
</t>
  </si>
  <si>
    <t>寂寞的小水怪</t>
  </si>
  <si>
    <t>深淵4人本【象牙塔】</t>
  </si>
  <si>
    <t>日期</t>
  </si>
  <si>
    <t>【備註：】</t>
  </si>
  <si>
    <t>時間</t>
  </si>
  <si>
    <t>卡門-&gt;象牙塔</t>
  </si>
  <si>
    <t>定位</t>
  </si>
  <si>
    <t>裝分</t>
  </si>
  <si>
    <t>DPS</t>
  </si>
  <si>
    <t>SUP</t>
  </si>
  <si>
    <t>接上一團</t>
  </si>
  <si>
    <t>阿飄刀鋒要找團</t>
  </si>
  <si>
    <t>鴨子蛋雕你</t>
  </si>
  <si>
    <t>鴨子表示問號?</t>
  </si>
  <si>
    <t>接上一團-&gt;卡門</t>
  </si>
  <si>
    <t xml:space="preserve">   </t>
  </si>
  <si>
    <t>軍團長8人本【卡門】</t>
  </si>
  <si>
    <t>初魅-&gt;卡門</t>
  </si>
  <si>
    <t>F</t>
  </si>
  <si>
    <t>接上一團(21:00)</t>
  </si>
  <si>
    <t>接上一團-&gt;初魅</t>
  </si>
  <si>
    <t>接上一團-&gt;象牙塔</t>
  </si>
  <si>
    <t>22:00-&gt;瘟疫</t>
  </si>
  <si>
    <t>N</t>
  </si>
  <si>
    <t>初代魅魔8人本【艾奇德娜】</t>
  </si>
  <si>
    <t>20:00-&gt;卡門</t>
  </si>
  <si>
    <t>H</t>
  </si>
  <si>
    <t>卡門-&gt;初魅-&gt;卡門</t>
  </si>
  <si>
    <t>軍團長8人本【瘟疫】</t>
  </si>
  <si>
    <t>卡門-&gt;瘟疫</t>
  </si>
  <si>
    <t>狂戰士</t>
  </si>
  <si>
    <t>數值</t>
  </si>
  <si>
    <t>最高級奧莉哈</t>
  </si>
  <si>
    <t>40組數量</t>
  </si>
  <si>
    <t>白魚</t>
  </si>
  <si>
    <t>成本</t>
  </si>
  <si>
    <t>單顆成本</t>
  </si>
  <si>
    <t>綠魚</t>
  </si>
  <si>
    <t>收益</t>
  </si>
  <si>
    <t>藍魚</t>
  </si>
  <si>
    <t>做滿40組</t>
  </si>
  <si>
    <t>白古</t>
  </si>
  <si>
    <t>大成功額外收益</t>
  </si>
  <si>
    <t>綠古</t>
  </si>
  <si>
    <t>40組成本</t>
  </si>
  <si>
    <t>藍古</t>
  </si>
  <si>
    <t>最高級奧莉哈手續費</t>
  </si>
  <si>
    <t>高級奧莉哈手續費</t>
  </si>
  <si>
    <t>最高級奧莉哈售價</t>
  </si>
  <si>
    <t>高級奧莉哈售價</t>
  </si>
  <si>
    <t>最高級奧莉哈材料數量</t>
  </si>
  <si>
    <t>高級奧莉哈材料數量</t>
  </si>
  <si>
    <t>白骨</t>
  </si>
  <si>
    <t>輸入區</t>
  </si>
  <si>
    <t>1組</t>
  </si>
  <si>
    <t>1隻</t>
  </si>
  <si>
    <t>魚的價格（每 100 隻）</t>
  </si>
  <si>
    <t>紅肉魚的價格（每 100 隻）</t>
  </si>
  <si>
    <t>奧利哈太陽鯉魚（每 100 隻）</t>
  </si>
  <si>
    <t>交易手續費（%）</t>
  </si>
  <si>
    <t>製作費減少 （%）</t>
  </si>
  <si>
    <t>最高級奧利哈融合材料售價</t>
  </si>
  <si>
    <t>方法</t>
  </si>
  <si>
    <t>所需原料</t>
  </si>
  <si>
    <t>換算步驟說明</t>
  </si>
  <si>
    <t>成本計算</t>
  </si>
  <si>
    <t>總成本（金）</t>
  </si>
  <si>
    <t>直接購買紅肉魚</t>
  </si>
  <si>
    <t>100 隻紅肉魚</t>
  </si>
  <si>
    <t>-</t>
  </si>
  <si>
    <t>100 隻紅肉魚 × 紅肉魚的價格（每 100 隻）</t>
  </si>
  <si>
    <t>用粉末兌換紅肉魚</t>
  </si>
  <si>
    <t>200 粉末 → 100 紅肉魚</t>
  </si>
  <si>
    <t>1 粉末 = 1.25 隻魚 → 200 粉末 = 250 隻魚</t>
  </si>
  <si>
    <t>250 隻魚 × 魚的價格（每 100 隻）</t>
  </si>
  <si>
    <t>最終</t>
  </si>
  <si>
    <t>直接購買奧利哈太陽鯉魚</t>
  </si>
  <si>
    <t>100 隻奧利哈太陽鯉魚</t>
  </si>
  <si>
    <t>100 隻奧利哈太陽鯉魚 × 奧利哈太陽鯉魚的價格（每 100 隻）</t>
  </si>
  <si>
    <t>用粉末兌換奧利哈太陽鯉魚</t>
  </si>
  <si>
    <t>100 粉末 → 10 奧利哈太陽鯉魚</t>
  </si>
  <si>
    <t>1 粉末 = 1.25 隻魚 → 1000 粉末 = 100 隻魚</t>
  </si>
  <si>
    <t>10 隻魚 × 魚的價格（每 1 隻）</t>
  </si>
  <si>
    <t>最高級奧利哈融合材料（1組=15個）</t>
  </si>
  <si>
    <t>需要數量</t>
  </si>
  <si>
    <t>材料價格</t>
  </si>
  <si>
    <t>奧利哈太陽鯉魚</t>
  </si>
  <si>
    <t>紅肉魚</t>
  </si>
  <si>
    <t>魚</t>
  </si>
  <si>
    <t>製作費用</t>
  </si>
  <si>
    <t>花費</t>
  </si>
  <si>
    <t>總售價</t>
  </si>
  <si>
    <t>交易手續費</t>
  </si>
  <si>
    <t>總收益</t>
  </si>
  <si>
    <t>做滿花費（40組=600個）</t>
  </si>
  <si>
    <t>做滿收益（40組=600個）</t>
  </si>
  <si>
    <t>單顆獲益</t>
  </si>
  <si>
    <r>
      <rPr>
        <rFont val="Arial"/>
        <b/>
        <color theme="1"/>
        <sz val="30.0"/>
      </rPr>
      <t>請填裝等</t>
    </r>
    <r>
      <rPr>
        <rFont val="Arial"/>
        <b/>
        <color rgb="FFFF0000"/>
        <sz val="30.0"/>
      </rPr>
      <t>1475</t>
    </r>
    <r>
      <rPr>
        <rFont val="Arial"/>
        <b/>
        <color theme="1"/>
        <sz val="30.0"/>
      </rPr>
      <t>以上</t>
    </r>
  </si>
  <si>
    <t>夢幻</t>
  </si>
  <si>
    <t>天界</t>
  </si>
  <si>
    <t>流螢醬</t>
  </si>
  <si>
    <t>遐蝶醬</t>
  </si>
  <si>
    <t>白巧克力</t>
  </si>
  <si>
    <t>鏡流醬</t>
  </si>
  <si>
    <t>幻璃醬</t>
  </si>
  <si>
    <t>蜜蘋香橙伯爵好喝</t>
  </si>
  <si>
    <t>董辣妹</t>
  </si>
  <si>
    <t>第一神拳埃爾文</t>
  </si>
  <si>
    <t>拳煞</t>
  </si>
  <si>
    <t>跨哩挖興</t>
  </si>
  <si>
    <t>AKA張老師</t>
  </si>
  <si>
    <t>只有今晚奏鳴</t>
  </si>
  <si>
    <t>Farewell</t>
  </si>
  <si>
    <t>Tabris</t>
  </si>
  <si>
    <t>糕利袋</t>
  </si>
  <si>
    <t>剩</t>
  </si>
  <si>
    <t>四</t>
  </si>
  <si>
    <t>門</t>
  </si>
  <si>
    <t>SUPADUPA</t>
  </si>
  <si>
    <t>芝士貓貓</t>
  </si>
  <si>
    <r>
      <rPr>
        <rFont val="Microsoft JhengHei"/>
        <b/>
        <color theme="1"/>
        <sz val="14.0"/>
      </rPr>
      <t>額外寶箱消耗(優先消耗</t>
    </r>
    <r>
      <rPr>
        <rFont val="Microsoft JhengHei"/>
        <b/>
        <color rgb="FFFF0000"/>
        <sz val="14.0"/>
      </rPr>
      <t>綁定金幣</t>
    </r>
    <r>
      <rPr>
        <rFont val="Microsoft JhengHei"/>
        <b/>
        <color theme="1"/>
        <sz val="14.0"/>
      </rPr>
      <t>)</t>
    </r>
  </si>
  <si>
    <t>「若要使用，請自行建立副本使用」
細算所有非收益本的完成獎章去隔壁計算</t>
  </si>
  <si>
    <t>副本</t>
  </si>
  <si>
    <t>P1</t>
  </si>
  <si>
    <t>P2</t>
  </si>
  <si>
    <t>P3</t>
  </si>
  <si>
    <t>P4</t>
  </si>
  <si>
    <t>總共</t>
  </si>
  <si>
    <t>活金</t>
  </si>
  <si>
    <t>綁金</t>
  </si>
  <si>
    <t>普丑龍</t>
  </si>
  <si>
    <t>角色名稱</t>
  </si>
  <si>
    <t xml:space="preserve">                                                        </t>
  </si>
  <si>
    <t>完成獎牌</t>
  </si>
  <si>
    <t>困丑龍</t>
  </si>
  <si>
    <t>鹿</t>
  </si>
  <si>
    <t>牛</t>
  </si>
  <si>
    <t>單人牛</t>
  </si>
  <si>
    <t>魅魔</t>
  </si>
  <si>
    <t>普牛</t>
  </si>
  <si>
    <t>困牛</t>
  </si>
  <si>
    <t>丑</t>
  </si>
  <si>
    <t>單人魅</t>
  </si>
  <si>
    <t>困魅</t>
  </si>
  <si>
    <t>普魅</t>
  </si>
  <si>
    <t>小丑</t>
  </si>
  <si>
    <t>夢幻G4</t>
  </si>
  <si>
    <t>困夢</t>
  </si>
  <si>
    <t>普夢</t>
  </si>
  <si>
    <t>困夢G4</t>
  </si>
  <si>
    <t>普夢G4</t>
  </si>
  <si>
    <t>單人丑</t>
  </si>
  <si>
    <t>困天</t>
  </si>
  <si>
    <t>普天</t>
  </si>
  <si>
    <t>普瘟</t>
  </si>
  <si>
    <t>單人普夢</t>
  </si>
  <si>
    <t xml:space="preserve">
收益</t>
  </si>
  <si>
    <t>非綁金收益</t>
  </si>
  <si>
    <t>非綁金總收益</t>
  </si>
  <si>
    <t>單人夢幻G4</t>
  </si>
  <si>
    <t>綁金收益</t>
  </si>
  <si>
    <t>總綁金總收益</t>
  </si>
  <si>
    <t>完成獎章</t>
  </si>
  <si>
    <t>總完成獎章</t>
  </si>
  <si>
    <t>&lt; 不包含3次終結副本以外的</t>
  </si>
  <si>
    <t>普天界</t>
  </si>
  <si>
    <t>箱子</t>
  </si>
  <si>
    <t>困天界</t>
  </si>
  <si>
    <t>普瘟疫</t>
  </si>
  <si>
    <t>困瘟疫</t>
  </si>
  <si>
    <t>普象牙</t>
  </si>
  <si>
    <t>困象牙</t>
  </si>
  <si>
    <t>普卡蒙</t>
  </si>
  <si>
    <t>困卡蒙</t>
  </si>
  <si>
    <t>普初魅</t>
  </si>
  <si>
    <t>困初魅</t>
  </si>
  <si>
    <t>尼龍</t>
  </si>
  <si>
    <t>普埃</t>
  </si>
  <si>
    <t>困埃</t>
  </si>
  <si>
    <t xml:space="preserve">
1、20島之心必拿，因為要拿高級技能點藥水
2、巨人之心前面6顆是最好拿的，也是拿技能點數藥水快捷徑
3、奧菲斯之星5顆是最好拿的第六顆憑運氣!</t>
  </si>
  <si>
    <t xml:space="preserve">快速取得20個島之心的前提
至少擁有20點魅力值。 （穿戴外觀裝備或 冒險之書 玩法）
完成貝倫北的主線任務。                                                
擁有 16800 海盜硬幣。                                                
裝備好全套採集工具。 （系統贈送，也可以找生活工具商人購買）						</t>
  </si>
  <si>
    <t>跑島過程黃色任務都要接起來
拿硬幣寶箱後續巨人之心需要使用到</t>
  </si>
  <si>
    <t>1、孤單島-紫色任務(劇情會順便跑到)</t>
  </si>
  <si>
    <t>2、比基尼島-在阿爾德塔因主城史特恩接任務，前置任務會引導你去海上樂園佩托，只要順著任務走即可。</t>
  </si>
  <si>
    <t>3、黃金波浪島-打開島上遍地的寶箱有機率獲得。</t>
  </si>
  <si>
    <t>4、史萊姆島-擊殺金色史萊姆怪有較大機率掉落。</t>
  </si>
  <si>
    <t>5、波摩納島-擁有20魅力，完成紫色任務就得到了。</t>
  </si>
  <si>
    <t>6、寂靜島
島上鐵匠接任務，然後打兩個地牢副本即可獲得</t>
  </si>
  <si>
    <r>
      <rPr>
        <rFont val="Arial"/>
        <color theme="1"/>
        <sz val="15.0"/>
      </rPr>
      <t>1.被吞噬的巨大羅卡洛碎片([托托伊克]沉默巨人森林-副本：</t>
    </r>
    <r>
      <rPr>
        <rFont val="Arial"/>
        <color rgb="FFCC0000"/>
        <sz val="15.0"/>
      </rPr>
      <t>托托伊克體內</t>
    </r>
    <r>
      <rPr>
        <rFont val="Arial"/>
        <color theme="1"/>
        <sz val="15.0"/>
      </rPr>
      <t>)
2.礫石石碎片([托托伊克]沉默巨人森林-副本：</t>
    </r>
    <r>
      <rPr>
        <rFont val="Arial"/>
        <color rgb="FFA61C00"/>
        <sz val="15.0"/>
      </rPr>
      <t>托托伊克的體內</t>
    </r>
    <r>
      <rPr>
        <rFont val="Arial"/>
        <color theme="1"/>
        <sz val="15.0"/>
      </rPr>
      <t>)打完就可以退副本了
塔納托斯的第四個指甲碎片([猶迪亞]薩蘭德丘陵-沉靜於水中的廢墟傳點旁副本：莫拉伊遺跡)
[要打完全程]</t>
    </r>
  </si>
  <si>
    <t>7.巨大蘑菇島-上島接任務，砍伐蘑菇就有機率獲得。</t>
  </si>
  <si>
    <t>8.埃斯特拉-島上到處會有流星墜落，拾取流星就有機率獲得。</t>
  </si>
  <si>
    <t>9.烏龜島-完成紫色任務。</t>
  </si>
  <si>
    <t>10.星光燈塔島-完成紫色任務</t>
  </si>
  <si>
    <t>11.破碎冰河島-完成紫色任務</t>
  </si>
  <si>
    <t>12.新月島-在島上狩獵兔子以獲得結晶鱗片，60個可以在NPC處兌換。</t>
  </si>
  <si>
    <t>13.福爾圖納-打破罐子直到刷出金色罐子，打破金色罐子機率掉落。</t>
  </si>
  <si>
    <t>14.歲月島-島上釣魚獲得魔法罐子，可以在島上白圈標記位置用罐子召喚BOSS，擊殺即可。</t>
  </si>
  <si>
    <t>15.眠曲島-完成三次共鳴之歌(共鳴之歌到海上樂園兌換)</t>
  </si>
  <si>
    <t>16.扭曲次元島，進入島後接取冒險任務完成後獲得，需要一張魔方門票。</t>
  </si>
  <si>
    <t xml:space="preserve">17.度假勝地格拉維斯-比基尼島後續任務，跟著做完就有島心 </t>
  </si>
  <si>
    <t>18.回想島-完成紫色任務</t>
  </si>
  <si>
    <t>19.不法之徒島-島上撿箱子機率獲得</t>
  </si>
  <si>
    <t>20.向日葵島-收集10個偉大藝術品</t>
  </si>
  <si>
    <t>史萊姆島</t>
  </si>
  <si>
    <t>回想島</t>
  </si>
  <si>
    <t>第一個巨人的心臟：托托伊克 - 失散的五兄弟。</t>
  </si>
  <si>
    <t>優先</t>
  </si>
  <si>
    <t>最基本6顆巨人心臟
吉埃娜硬幣(綠)共需要7600</t>
  </si>
  <si>
    <t>第十個巨人的心臟：暗影之塔14層(裝等680+)。</t>
  </si>
  <si>
    <t>第十三個巨人的心臟：命運之塔14層(裝等995+)。</t>
  </si>
  <si>
    <t xml:space="preserve">第四個巨人的心臟：蘇夏爾／永恆湖 擊殺BOSS - 塔爾西拉。
</t>
  </si>
  <si>
    <t>第六個巨人的心臟：海盜鎮阿特拉斯 - 流浪商人 花費33000海盜幣兌換。</t>
  </si>
  <si>
    <t>第八個巨人的心臟：自由島 - 黑牙 花費4000吉埃娜硬幣兌換。</t>
  </si>
  <si>
    <t>第五個巨人的心臟：黑牙駐地 - 專用船員兌換 花費3600吉埃娜硬幣兌換。</t>
  </si>
  <si>
    <t>第二個巨人的心臟：特利希溫 - 薇亞特麗斯的好感度達到友好。</t>
  </si>
  <si>
    <t>第三個巨人的心臟：阿爾德塔因／休特倫 - 薩沙的好感度到達信賴。</t>
  </si>
  <si>
    <t>第九個巨人的心臟：完成許普諾斯之眼島上任務解鎖藍眼睛．卡爾巴賽斯的好感度，好感度到達信賴。</t>
  </si>
  <si>
    <t>第十四個巨人的心臟：完成耳語島上任務解鎖妮娜芙好感度，好感度到達信賴。</t>
  </si>
  <si>
    <t>第十一個巨人的心臟：完成藍風島上任務解鎖每日任務，進行每日任務使聲望達到3階段(15次)。</t>
  </si>
  <si>
    <t>第七個巨人的心臟：完成杜基島上任務解鎖每日任務，進行每日任務使聲望達到3階段(30次)。</t>
  </si>
  <si>
    <t>第十二個巨人的心臟：島內任務完成後解鎖每日任務，完成5次每日任務並達成拍攝各色精靈的五個成就後，在地圖上方做4個竊聽事件便可解鎖黃色任務，完成便可獲得。</t>
  </si>
  <si>
    <t>第十五個巨人的心臟：解鎖前面14個巨人的心臟後領取獎勵＂再次共鳴的巨人心臟＂，開啟獲得任務，完成任務後獲得。</t>
  </si>
  <si>
    <r>
      <rPr>
        <rFont val="Arial"/>
        <color theme="1"/>
        <sz val="14.0"/>
      </rPr>
      <t>這裡每項任務都是可以同步進行的，1~5最好獲取
#3請直接將好感度弄到友好1階段9200，並直接
使用12個</t>
    </r>
    <r>
      <rPr>
        <rFont val="Arial"/>
        <color rgb="FF980000"/>
        <sz val="14.0"/>
      </rPr>
      <t>相同傳說好感度</t>
    </r>
    <r>
      <rPr>
        <rFont val="Arial"/>
        <color theme="1"/>
        <sz val="14.0"/>
      </rPr>
      <t xml:space="preserve">道具塞滿。
</t>
    </r>
  </si>
  <si>
    <r>
      <rPr>
        <rFont val="Arial"/>
        <color theme="1"/>
        <sz val="14.0"/>
      </rPr>
      <t xml:space="preserve">奧菲斯之星 #1：完成主線後於帕夫尼卡接取紫色任務：回憶開始的地方，之後完成一系列的慶典任務便可接到紫色任務：低語的星星，完成任務即可獲得。
</t>
    </r>
    <r>
      <rPr>
        <rFont val="Arial"/>
        <color rgb="FFCC4125"/>
        <sz val="14.0"/>
      </rPr>
      <t>簡單講就是回憶開始的場所(任務)，一系列的任務完成後，尼卡村下方接取松鼠紫色任務(無法接取的話請到低語島完成紫色任務並開啟艾波娜委託每日任務解技能點)</t>
    </r>
  </si>
  <si>
    <t>奧菲斯之星 #2：完成帕夫尼卡每日任務，狂氣堆起的祭壇聲望達2階段(21次)。</t>
  </si>
  <si>
    <t>奧菲斯之星 #3：帕夫尼卡 - 尼亞 好感度到達信賴。</t>
  </si>
  <si>
    <t>奧菲斯之星 #4：在帕夫尼卡港口的魚叉狩獵公會船用8000普羅基翁硬幣(藍)兌換。</t>
  </si>
  <si>
    <t>奧菲斯之星 #5：於帕夫尼卡／提卡提卡棲地，擊殺野外Boss 莫亞克機率掉落。</t>
  </si>
  <si>
    <t>奧菲斯之星 #6：完成悲嘆之島上黃色任務後，擊殺副本Boss 機率掉落。(每日任務)</t>
  </si>
  <si>
    <t>奧菲斯之星 #7：於貝倫南部／副本混沌的裂縫中擊殺副本Boss機率掉落。(每周任務)</t>
  </si>
  <si>
    <t>聲望名稱</t>
  </si>
  <si>
    <t>每日任務</t>
  </si>
  <si>
    <t>完成次數需求</t>
  </si>
  <si>
    <t>日常獎勵</t>
  </si>
  <si>
    <t>聲望獎勵</t>
  </si>
  <si>
    <t>獎勵類型</t>
  </si>
  <si>
    <t>優先級推薦</t>
  </si>
  <si>
    <t>備註以及解鎖條件</t>
  </si>
  <si>
    <t>單一艾波娜聲望通常由每日任務組成
部分艾波娜聲望由多個日常任務組成
每日完成日常任務即可獲得聲望點數
聲望點數達到階段目標即可獲得聲望階段獎勵
(詳情在遊戲內右下角—艾波娜委託—聲望現況查詢)</t>
  </si>
  <si>
    <r>
      <rPr>
        <rFont val="Arial"/>
        <color theme="1"/>
        <sz val="11.0"/>
      </rPr>
      <t>註:同帳號下每日僅可獲得一次同種聲望點數，即一天內多個小號完成相同日常任務也</t>
    </r>
    <r>
      <rPr>
        <rFont val="Arial"/>
        <b/>
        <color rgb="FFFF0000"/>
        <sz val="11.0"/>
      </rPr>
      <t>只給一次聲望積分</t>
    </r>
    <r>
      <rPr>
        <rFont val="Arial"/>
        <color theme="1"/>
        <sz val="11.0"/>
      </rPr>
      <t>。次數=完成需要天數</t>
    </r>
  </si>
  <si>
    <t>僅標註日常任務獨特獎勵，通常為銀幣、突破石、能力石、榮譽碎片等</t>
  </si>
  <si>
    <t>聲望獎勵是完成每階段聲望點數需求後可獲得的一次性獎勵，獲得其中的獨特獎勵是完成艾波娜聲望提升帳號練度的主要目標！</t>
  </si>
  <si>
    <t>以聲望任務內主要需求的獨特獎勵來劃分類型，方便查找以及篩選！小部分任務以每日獲取收益劃分！</t>
  </si>
  <si>
    <t>通常以技能點、奧佩斯之星、巨人心臟、四維屬性、島之心為目標推薦。幫助帳號優先提升實際戰力。</t>
  </si>
  <si>
    <t>合唱團老師</t>
  </si>
  <si>
    <t>低語的小步舞曲</t>
  </si>
  <si>
    <t>2</t>
  </si>
  <si>
    <t>結緣石700</t>
  </si>
  <si>
    <t>體力+5
技能點數+3</t>
  </si>
  <si>
    <t>技能點</t>
  </si>
  <si>
    <t>⭐⭐⭐⭐⭐⭐</t>
  </si>
  <si>
    <t>完成大航海低語小島上全部任務後解鎖！
3個日常任務需求森林小舞曲、共鳴之歌、天上和諧曲！請先獲得再做。
唯一直接給技能點數的聲望任務，只要10天。</t>
  </si>
  <si>
    <t>低語共鳴</t>
  </si>
  <si>
    <t>3</t>
  </si>
  <si>
    <t>低語和諧曲</t>
  </si>
  <si>
    <t>5</t>
  </si>
  <si>
    <t>奴隸解放</t>
  </si>
  <si>
    <t>15</t>
  </si>
  <si>
    <t>突破石x5</t>
  </si>
  <si>
    <t>力敏智+5
藝術品#18</t>
  </si>
  <si>
    <t>藝術品，突破石</t>
  </si>
  <si>
    <t>⭐⭐⭐⭐⭐</t>
  </si>
  <si>
    <r>
      <rPr>
        <rFont val="Arial"/>
        <color theme="1"/>
        <sz val="11.0"/>
      </rPr>
      <t>完成凱特海勒茲島上任務解鎖！獎勵最多突破石的日常任務。聲望還有藝術品！大號必做
最好釋放，</t>
    </r>
    <r>
      <rPr>
        <rFont val="Arial"/>
        <b/>
        <color rgb="FFCC0000"/>
        <sz val="11.0"/>
      </rPr>
      <t>900海盜幣(男性) or 600海盜幣(女性)</t>
    </r>
    <r>
      <rPr>
        <rFont val="Arial"/>
        <color theme="1"/>
        <sz val="11.0"/>
      </rPr>
      <t xml:space="preserve">。 </t>
    </r>
  </si>
  <si>
    <t>防禦戰</t>
  </si>
  <si>
    <t>防禦戰，以海盜的規矩!</t>
  </si>
  <si>
    <t>10</t>
  </si>
  <si>
    <t>膽量+10
72000海盜硬幣
海洋掠食者:特拉貢</t>
  </si>
  <si>
    <t>四維，突破石</t>
  </si>
  <si>
    <t>屬於T2跑島部分。在阿爾德塔因主城左下角接取指引任務現在立即出發後經過比基尼島-格拉比斯度假村-希普諾斯之眼完成全部任務可解鎖。
突破石最多的日常，加上島上的藍眼凱巴索斯好感度會給巨人之心+島之心，屬於前期每日必來的島嶼，推薦大號每日做該任務獲取突破石。</t>
  </si>
  <si>
    <t>酥脆又閃耀的</t>
  </si>
  <si>
    <t>不能袖手旁觀</t>
  </si>
  <si>
    <t>裝飾物:半熟蛋椅子</t>
  </si>
  <si>
    <t>突破石</t>
  </si>
  <si>
    <t>大航海-亞拉克勤。直接解鎖，限時活動島。獎勵最多突破石的日常任務，就是限定時間稍微麻煩，建議大號做！</t>
  </si>
  <si>
    <t>拘捕犯罪者</t>
  </si>
  <si>
    <t>16</t>
  </si>
  <si>
    <t>榮譽碎片</t>
  </si>
  <si>
    <t>力敏智+5
逃亡者的村莊島之心(6次獲得)</t>
  </si>
  <si>
    <t>島之心，戰鬥屬性</t>
  </si>
  <si>
    <t>大航海-逃亡者的村莊島，完成島上任務即可解鎖，隱藏任務在島正中的通緝單上，交互發光的板子就好。建議查看詳細攻略。
前期較為好獲得的島之心，完成6次就可以獲得。每日碎片獎勵也不錯</t>
  </si>
  <si>
    <t>新刊出版</t>
  </si>
  <si>
    <t>新詩</t>
  </si>
  <si>
    <t>銀幣</t>
  </si>
  <si>
    <t>力敏智+5
夢幻島之心(7次獲得)</t>
  </si>
  <si>
    <t>大航海-夢幻島，完成島上所有任務即可。屬於材料島前期必跑。
前期較為好獲得的島之心，完成第一階段聲望7次任務就有島之心。任務需求道具拉特的詩集在盧特蘭城雜貨商購買，可提前購買好。</t>
  </si>
  <si>
    <t>草原臭蟲</t>
  </si>
  <si>
    <t>地底下的不肖之徒</t>
  </si>
  <si>
    <t>力敏智+5
表情:口哨
第十一個巨人之心</t>
  </si>
  <si>
    <t>巨人之心，表情</t>
  </si>
  <si>
    <t>大航海-藍風島。完成島上任務藍色的鬃毛即可解鎖。 T2材料島關鍵島嶼，完成全部任務需要天上和諧曲，建議尋找詳細攻略進行。</t>
  </si>
  <si>
    <t>協助試劑實驗</t>
  </si>
  <si>
    <t>幫我取得祕法的材料</t>
  </si>
  <si>
    <t>日之恩寵</t>
  </si>
  <si>
    <t>玩具箱
第十二個巨人之心前置需求(完成5次)</t>
  </si>
  <si>
    <t>巨人之心</t>
  </si>
  <si>
    <t>大航海搜尋月影市場。完成月影市場中島上任務解鎖。
第十二個巨人之心需要完成島上各種成就以及該聲望日常5次才可獲得，較為繁瑣，具體請看攻略:月影市場隱藏任務</t>
  </si>
  <si>
    <t>抓住杜基王</t>
  </si>
  <si>
    <t>30</t>
  </si>
  <si>
    <t>友善+10
第七個巨人之心</t>
  </si>
  <si>
    <t>巨人之心，四維</t>
  </si>
  <si>
    <t>大航海-搜尋杜基島查看可登島時間，直接解鎖，每日四維和巨人之心都是最好的獎勵。需30天完成，建議留個小號每日到活動時間完成任務，任務無難度。</t>
  </si>
  <si>
    <t>淨化儀式</t>
  </si>
  <si>
    <t>淨化池塘</t>
  </si>
  <si>
    <t>7</t>
  </si>
  <si>
    <t>奧菲斯之星#2</t>
  </si>
  <si>
    <t>奧菲斯之星</t>
  </si>
  <si>
    <t>T3帕普尼卡最優先級聲望，拿到星星需要21天，推薦大號完成一次後小號快速完成，有T3小號手動完成更好。完成帕普尼卡主線後解鎖</t>
  </si>
  <si>
    <t>被瘋狂氣息覆蓋的廣場</t>
  </si>
  <si>
    <t>14</t>
  </si>
  <si>
    <t>封印之地修復工作</t>
  </si>
  <si>
    <t>壓制+4
埃爾喬文的祝福信
蘊含魔力的湯(完成7次)</t>
  </si>
  <si>
    <t>技能點數，大陸百科物品</t>
  </si>
  <si>
    <t>完成洛漢德主線即解鎖。獲得全部聲望獎勵需要45次，但完成大陸百科的道具只需要7次！洛漢德隱藏任務"再次，回到原地"的解鎖前置同樣需要完成7次封印之地修復工作，該隱藏任務獎勵技能點。技能點隱藏任務攻略連結:再次，回到原地</t>
  </si>
  <si>
    <t>澤納爾重建工作</t>
  </si>
  <si>
    <t>38</t>
  </si>
  <si>
    <t>為了靈魂們的安息</t>
  </si>
  <si>
    <t>卡丹大廳的驅魔儀式</t>
  </si>
  <si>
    <t>突破石x3</t>
  </si>
  <si>
    <t>膽量+10</t>
  </si>
  <si>
    <t>四維</t>
  </si>
  <si>
    <t>⭐⭐⭐⭐</t>
  </si>
  <si>
    <t>在盧特蘭城席利安處接受紫色連鎖任務盧特蘭的回憶，做完該系列任務後繼續做黑玫瑰聖療殿堂的救我紫色連鎖任務。全部完成後檢查盧特蘭城是否還有支線叫封印惡魔的方法或惡魔的誘惑(地圖第二層)，全部做完就會在卡丹大教堂出現惡魔的名字支線任務，做完即可解鎖</t>
  </si>
  <si>
    <t>負責港口經營</t>
  </si>
  <si>
    <t>莫倫托的代理人</t>
  </si>
  <si>
    <t>藝術品#10
壓制+4</t>
  </si>
  <si>
    <t>藝術品</t>
  </si>
  <si>
    <t>盧特蘭東部-鬃波港。完成在哪裡買藥-負責港口的營運支線任務解鎖。</t>
  </si>
  <si>
    <t>森林保護 ~綠油油綠油油~</t>
  </si>
  <si>
    <t>妖精的朋友</t>
  </si>
  <si>
    <t>知性+10</t>
  </si>
  <si>
    <t>貝倫北部-拉尼亞村，在冒險家工會接受杳無音訊支線任務，前往伯尼爾森林完成一系列支線即可解鎖。</t>
  </si>
  <si>
    <t>整裝待發的昆蟲大師</t>
  </si>
  <si>
    <t>少年的夢想</t>
  </si>
  <si>
    <t>友善+10
裝飾物:阿爾忒彌斯大型噴泉</t>
  </si>
  <si>
    <t>直接解鎖。</t>
  </si>
  <si>
    <t>海上樂園佩托</t>
  </si>
  <si>
    <t>度日如年</t>
  </si>
  <si>
    <t>1</t>
  </si>
  <si>
    <t>迅速+4
海盜硬幣
裝飾物:遊戲桌
完成7次可進行島之心獲取任務</t>
  </si>
  <si>
    <t>大航海-海上樂園佩托。完成島上紫色島之心任務第一步解鎖日常，後續任務需完成2次日常、7次日常相繼解鎖。完成7次後解鎖的島嶼任務獎勵島之心！</t>
  </si>
  <si>
    <t>又一次度日如年</t>
  </si>
  <si>
    <t>轉來轉去的一切</t>
  </si>
  <si>
    <t>4</t>
  </si>
  <si>
    <t>我們再次跳舞的時間</t>
  </si>
  <si>
    <t>解放機器人</t>
  </si>
  <si>
    <t>能力石</t>
  </si>
  <si>
    <t>友善+10
坐騎:藍色懸浮板</t>
  </si>
  <si>
    <t>四維，坐騎</t>
  </si>
  <si>
    <t>大航海-秘密基地301號。直接解鎖，但日常任務需要完成島上全部任務後透過一個島嶼日常來獲得副本門票，擊敗島嶼副本boss完成日常</t>
  </si>
  <si>
    <t>收集廢鐵</t>
  </si>
  <si>
    <t>請收集廢鐵</t>
  </si>
  <si>
    <t>魅力+10</t>
  </si>
  <si>
    <t>大航海-逃亡者的村莊島，完成島上隱藏任務即可解鎖，隱藏任務在右方島入口往左走一點的樹下，交互發光點可取得。找不到請查看詳細攻略。</t>
  </si>
  <si>
    <t>請幫我收集迴路</t>
  </si>
  <si>
    <t>請幫我收集核心</t>
  </si>
  <si>
    <t>8</t>
  </si>
  <si>
    <t>回原來位置</t>
  </si>
  <si>
    <t>突破石x4</t>
  </si>
  <si>
    <t>力量、智慧+5</t>
  </si>
  <si>
    <t>蘇夏爾-冰封之海。主線解鎖，跑完主線就能做的突破石日常。前期大號取得材料可做</t>
  </si>
  <si>
    <t>冰封的記憶</t>
  </si>
  <si>
    <t>蘇夏爾-冰蝶峭壁。完成連鎖支線任務:消失的朋友解鎖</t>
  </si>
  <si>
    <t>被詛咒的遺跡</t>
  </si>
  <si>
    <t>結緣石800</t>
  </si>
  <si>
    <t>忍耐+4
藝術品#9</t>
  </si>
  <si>
    <t>尤迪亞-奧茲霍丘陵。主線解鎖。簡單好拿的藝術品</t>
  </si>
  <si>
    <t>放牧飼養</t>
  </si>
  <si>
    <t>焦慮的內心感受</t>
  </si>
  <si>
    <t>安憶谷-蒼天，食品店下方發光的箱子接取隱藏任務你家在哪兒，完成後解鎖</t>
  </si>
  <si>
    <t>消滅馬賊團</t>
  </si>
  <si>
    <t>就算犧牲一百次</t>
  </si>
  <si>
    <t>完成貝倫主線即可解鎖。簡單好拿的四維屬性！</t>
  </si>
  <si>
    <t>考古學家的請託</t>
  </si>
  <si>
    <t>力敏智+5
藝術品#19(完成7次獲得)</t>
  </si>
  <si>
    <t>藝術品，戰鬥屬性</t>
  </si>
  <si>
    <t>大航海-自由島。完成島上任務即可解鎖。
完成7次就可以獲得藝術品</t>
  </si>
  <si>
    <t>擊退臭蟲</t>
  </si>
  <si>
    <t>體力+5
海盜認證書</t>
  </si>
  <si>
    <t>船隻，戰鬥屬性</t>
  </si>
  <si>
    <t>大航海-黑牙駐地。完成島上任務即可解鎖！
海掠者認證書是用來解鎖方舟最強船隻阿斯特雷伊的材料之一。
日常獎勵突破石，只要剛做完50級主線即可完成。</t>
  </si>
  <si>
    <t>馬鈴薯、地瓜和雜草</t>
  </si>
  <si>
    <t>首先前往哥布林島，與NPC高比烏斯24世對話，依序完成「王非王」、「向新的大海和新的土地」後，可接到任務「前往希望島」。然後前往希望島完成任務即可解鎖</t>
  </si>
  <si>
    <t>好不容易逃了出來</t>
  </si>
  <si>
    <t>裝的滿滿的</t>
  </si>
  <si>
    <t>若想隨風而行</t>
  </si>
  <si>
    <t>愉快的授課時間</t>
  </si>
  <si>
    <t>托托皮亞一日老師</t>
  </si>
  <si>
    <t>結緣石900</t>
  </si>
  <si>
    <t>大航海-托托皮亞島。完成島上任務即可解鎖！</t>
  </si>
  <si>
    <t>費麥塔真正的經理</t>
  </si>
  <si>
    <t>為了費麥塔的修繕</t>
  </si>
  <si>
    <t>藝術品#28
裝飾物:吧台</t>
  </si>
  <si>
    <t>大航海-大海的搖籃費麥塔，完成島上任務即可解鎖。
Tips:吧台這個裝飾物領地屬性挺有用的</t>
  </si>
  <si>
    <t>為了費麥塔的安全</t>
  </si>
  <si>
    <t>13</t>
  </si>
  <si>
    <t>暗影聖療養院</t>
  </si>
  <si>
    <t>黑鷹們的安息處</t>
  </si>
  <si>
    <t>好感度道具</t>
  </si>
  <si>
    <t>費頓3連之一！費頓-陰沉峭壁，完成明天也有黎明支線任務後繼續完成新出現的隱藏影子支線任務即可解鎖。
本身獎勵一般，主要是費頓3個任務全給突破石且在同一大陸，無需快速完成，極為方便。</t>
  </si>
  <si>
    <t>黑鷹旅館</t>
  </si>
  <si>
    <t>衛士長久以來的神秘</t>
  </si>
  <si>
    <t>28</t>
  </si>
  <si>
    <t>熟練+4</t>
  </si>
  <si>
    <t>費頓3連之一！費頓-哀嘆沼澤-林中守望者棲息地，擊殺"守望者"怪物(你只能看到腳那種)，掉落任務道具守望者的詭異孢子，使用後完成相關任務即可解鎖。</t>
  </si>
  <si>
    <t>看命運的眼睛</t>
  </si>
  <si>
    <t>金塞拉的紀念儀式</t>
  </si>
  <si>
    <t>卡牌:古爾丁</t>
  </si>
  <si>
    <t>費頓3連之一！費頓-卡拉賈村，右上旅館接見命運的眼瞳並完成，之後每日一次來這裡接取完成下一個任務，直到完成金塞拉的命運論即可解鎖，總計5天！</t>
  </si>
  <si>
    <t>湖泊的仙靈</t>
  </si>
  <si>
    <t>仙靈壇子</t>
  </si>
  <si>
    <t>戰鬥屬性</t>
  </si>
  <si>
    <t>⭐⭐⭐</t>
  </si>
  <si>
    <t>大航海-歲月島，完成島上全部任務解鎖。島之心透過島內釣罐子後開怪物擊殺獲得，可以和日常一起做</t>
  </si>
  <si>
    <t>海之淚</t>
  </si>
  <si>
    <t>鯨魚生活的海洋</t>
  </si>
  <si>
    <t>座頭鯨油(3次)
體力+5</t>
  </si>
  <si>
    <t>大航海-諾托斯島，完成島上任務解鎖。座頭鯨油是獲得冰迷宮島之心的必須物品，完成​​3次日常即可獲得</t>
  </si>
  <si>
    <t>守鯨者的報酬</t>
  </si>
  <si>
    <t>觀察鯨魚</t>
  </si>
  <si>
    <t>與狼用餐</t>
  </si>
  <si>
    <t>時間靜止的狼</t>
  </si>
  <si>
    <t>體力+5
坐騎:虛影狼</t>
  </si>
  <si>
    <t>坐騎，戰鬥屬性</t>
  </si>
  <si>
    <t>蘇夏爾-凝時之湖。主線解鎖。</t>
  </si>
  <si>
    <t>搗蛋鬼妖精</t>
  </si>
  <si>
    <t>迅速+4
裝飾物:大型風車
發酵促進魔法粉末(完成15次獲得)</t>
  </si>
  <si>
    <t>大陸百科物品</t>
  </si>
  <si>
    <t>完成洛漢德大陸主線即解鎖。大陸百科的道具完成15次日常就可以取得，有需求再做！</t>
  </si>
  <si>
    <t>又吵又響又亂</t>
  </si>
  <si>
    <t>舊鞋子</t>
  </si>
  <si>
    <t>完成約恩大陸主線即解鎖。完成15次日常取得大陸百科道具，有需求就做！</t>
  </si>
  <si>
    <t>陸下人化妝品的新歷史</t>
  </si>
  <si>
    <t>堅持做好品質管理很重要</t>
  </si>
  <si>
    <t>食品貿易箱子</t>
  </si>
  <si>
    <t>真實蘑菇
陸下人化妝師的邀請函</t>
  </si>
  <si>
    <t>在約恩大陸起始之地接取支線讓家族東山再起之物，完成該連鎖支線全部任務即可解鎖！
此任務聲望獎勵並不重要，每日獎勵給的箱子可以開出3種百科物品，需要全部湊齊才能完成橘色百科食物的製作。可以多個小號一起做，箱子每日可獲得多個。有需求就做。
作者steam服2個小號一起做了49次才出第三種。聲望現狀可以看到執行次數。小聲BB~</t>
  </si>
  <si>
    <t>研究新品</t>
  </si>
  <si>
    <t>6</t>
  </si>
  <si>
    <t>永恆吧！防彈潤膚霜</t>
  </si>
  <si>
    <t>勞困的溫泉打工</t>
  </si>
  <si>
    <t>徵溫泉工讀生</t>
  </si>
  <si>
    <t>榮譽碎片550</t>
  </si>
  <si>
    <t>偉大藝術品#48</t>
  </si>
  <si>
    <t>T3完成帕普尼卡主線後在星沙海灘完成溫泉重建任務解鎖。 25天日常才能獲得藝術品，後期追求收藏再分個小號出來做吧！</t>
  </si>
  <si>
    <t>徵警衛工讀生</t>
  </si>
  <si>
    <t>徵試吃工讀生</t>
  </si>
  <si>
    <t>12</t>
  </si>
  <si>
    <t>搜海掠者鳥巢穴</t>
  </si>
  <si>
    <t>奔跑吧杜基</t>
  </si>
  <si>
    <t>金幣1600
杜基太陽眼鏡</t>
  </si>
  <si>
    <t>金幣</t>
  </si>
  <si>
    <t>大航海搜索杜基公司，完成島上支線後解鎖！聲望總計1600金幣，完成4次可獲得其中400，最終完成有變身物品。如果缺金幣就去做做吧。</t>
  </si>
  <si>
    <t>拼命奔跑吧，杜基</t>
  </si>
  <si>
    <t>吉斯布羅伊小菜專家</t>
  </si>
  <si>
    <t>燕麥汁之友——蝦</t>
  </si>
  <si>
    <t>膽量+10（5次）
吉斯布魯島之心</t>
  </si>
  <si>
    <t>島之心，四維</t>
  </si>
  <si>
    <t>大航海搜索吉斯布羅伊，完成島上支線解鎖
完成前5次即可獲得膽量+10，但島之心卻要完成總計20次獲得。建議先取得四維即可</t>
  </si>
  <si>
    <t>燕麥汁之友－香腸</t>
  </si>
  <si>
    <t>燕麥汁之友－章魚</t>
  </si>
  <si>
    <t>快速疾馳：普紐瑪</t>
  </si>
  <si>
    <t>像風一樣快捷</t>
  </si>
  <si>
    <t>21</t>
  </si>
  <si>
    <t>船隻</t>
  </si>
  <si>
    <t>直接解鎖，船隻屬性一般，每日4突破石也不錯。有需求的可以做。</t>
  </si>
  <si>
    <t>幽靈船：埃伯恩的傷口</t>
  </si>
  <si>
    <t>陰森的夜霧</t>
  </si>
  <si>
    <t>完成洛漢德主線即可解鎖。幽靈船B格很足，很適合跑幽靈海域，但速度不快。而且任務要求打一次幽靈船，非常麻煩。有需求的可以做。</t>
  </si>
  <si>
    <t>海掠者之星:阿斯特雷伊</t>
  </si>
  <si>
    <t>尋找海掠者之星</t>
  </si>
  <si>
    <t>25</t>
  </si>
  <si>
    <t>60000海盜硬幣
阿斯特雷伊建造設計圖</t>
  </si>
  <si>
    <t>完成洛漢德主線即可解鎖。阿斯特雷伊是方舟最速船隻，黑牙專屬！設計圖只是獲得船隻需求的一部分，還需要擊退臭蟲任務給的認證書等等。此任務需在海上合作任務中完成限定任務，較為麻煩</t>
  </si>
  <si>
    <t>變異醫生</t>
  </si>
  <si>
    <t>變異的殘骸</t>
  </si>
  <si>
    <t>表情:疼痛</t>
  </si>
  <si>
    <t>表情動作</t>
  </si>
  <si>
    <t>⭐⭐</t>
  </si>
  <si>
    <t>完成盧特蘭主線以及國境地帶-當時的回憶支線解鎖。聲望獎勵非必要表情。</t>
  </si>
  <si>
    <t>有毒沙漠</t>
  </si>
  <si>
    <t>滲入修泰倫的毒</t>
  </si>
  <si>
    <t>致命+4</t>
  </si>
  <si>
    <t>阿爾德塔因-貧瘠之地接取暗影商團掃蕩行動，完成該連鎖支線後，繼續完成新出現的支線滲透斯特恩的污染素即可解鎖。</t>
  </si>
  <si>
    <t>為了更大的抱負</t>
  </si>
  <si>
    <t>毒的根源</t>
  </si>
  <si>
    <t>鹽田苦力</t>
  </si>
  <si>
    <t>想抹去歲月的痕跡</t>
  </si>
  <si>
    <t>生命值+5</t>
  </si>
  <si>
    <t>大航海-托托銀髮島。完成島上任務解鎖。 T1材料島之一，順路解鎖</t>
  </si>
  <si>
    <t>毛毛獸島</t>
  </si>
  <si>
    <t>照顧黑白毛毛獸寶寶</t>
  </si>
  <si>
    <t>正式黑白毛毛獸偽裝套裝(完成1次獲得)
體力+5</t>
  </si>
  <si>
    <t>大航海搜索毛毛獸島。完成島上任務解鎖。此島也是T1材料島，通常順路就完成了</t>
  </si>
  <si>
    <t>與黑白毛毛獸寶寶一起</t>
  </si>
  <si>
    <t>沉沒的島</t>
  </si>
  <si>
    <t>烏龜的安眠藥</t>
  </si>
  <si>
    <t>坐騎:紅苔龜</t>
  </si>
  <si>
    <t>坐騎</t>
  </si>
  <si>
    <t>大航海-烏龜島。完成島上任務解鎖！</t>
  </si>
  <si>
    <t>如果肚子餓的話</t>
  </si>
  <si>
    <t>史萊姆軟乎乎的聲音</t>
  </si>
  <si>
    <t>乾淨明亮的臥室</t>
  </si>
  <si>
    <t>應對緊急事態</t>
  </si>
  <si>
    <t>亞克拉西亞物流的核心</t>
  </si>
  <si>
    <t>盧特蘭快遞</t>
  </si>
  <si>
    <t>31</t>
  </si>
  <si>
    <t>體力+5
大海的旋律:弗蘭斯
裝飾物:信鴿籠</t>
  </si>
  <si>
    <t>銀幣，戰鬥屬性</t>
  </si>
  <si>
    <t>大航海-使命必達島。完成島上全部任務即可解鎖。俗稱快遞島，後期如果需求銀幣可以把小號定好點跑該系列任務。</t>
  </si>
  <si>
    <t>托托克快遞</t>
  </si>
  <si>
    <t>安憶谷快遞</t>
  </si>
  <si>
    <t>阿爾德塔因快遞</t>
  </si>
  <si>
    <t>貝倫快遞</t>
  </si>
  <si>
    <t>歇會兒再做吧</t>
  </si>
  <si>
    <t>商船遇難</t>
  </si>
  <si>
    <t>商品追加補充</t>
  </si>
  <si>
    <t>30000海盜硬幣</t>
  </si>
  <si>
    <t>海盜硬幣</t>
  </si>
  <si>
    <t>大航海-黃金波浪島，​​完成島上任務解鎖。 50級可去，解鎖簡單的突破石日常，但比其它日常少1個突破。前期大號取得材料可做</t>
  </si>
  <si>
    <t>廚師</t>
  </si>
  <si>
    <t>關乎一輩子的考試</t>
  </si>
  <si>
    <t>⭐</t>
  </si>
  <si>
    <t>完成托托克主線即解鎖。</t>
  </si>
  <si>
    <t>關乎人生的考試</t>
  </si>
  <si>
    <t>只有強者才能生存</t>
  </si>
  <si>
    <t>哥布林金幣</t>
  </si>
  <si>
    <t>體力+5
哥布林金幣30</t>
  </si>
  <si>
    <t>大航海-哥布林島。直接解鎖！哥布林金幣幹嘛用的我忘了，等下次再去看看再更新。</t>
  </si>
  <si>
    <t>繼續證明</t>
  </si>
  <si>
    <t>格拉比斯的寶物</t>
  </si>
  <si>
    <t>為了幸福而幫助</t>
  </si>
  <si>
    <t>體力+5
裝飾物:褐色日光浴床</t>
  </si>
  <si>
    <t>戰鬥屬性，裝飾物</t>
  </si>
  <si>
    <t>大航海-度假勝地格拉維斯。直接解鎖</t>
  </si>
  <si>
    <t>艾斯特拉天文學會</t>
  </si>
  <si>
    <t>基本無益</t>
  </si>
  <si>
    <t>大航海-艾斯特拉。完成島上任務解鎖，島上的連鎖支線給10點知性，建議做一下。</t>
  </si>
  <si>
    <t>俱樂部經理</t>
  </si>
  <si>
    <t>一杯繽紛果汁的悠閒時光</t>
  </si>
  <si>
    <t>大航海-阿比紐俱樂部。完成島上任務解鎖。</t>
  </si>
  <si>
    <t>基爾，喜歡吃魚</t>
  </si>
  <si>
    <t>大航海-遺忘之城。完成島上任務即可解鎖。</t>
  </si>
  <si>
    <t>不祥的南瓜</t>
  </si>
  <si>
    <t>熟練+4(15次獲得)
力敏智體力+5
裝飾物:南瓜稻草人</t>
  </si>
  <si>
    <t>大航海-奧爾貝斯島，完成島上任務即可解鎖</t>
  </si>
  <si>
    <t>新菜品</t>
  </si>
  <si>
    <t>史萊姆是什麼味道</t>
  </si>
  <si>
    <t>果凍幣3000</t>
  </si>
  <si>
    <t>果凍幣</t>
  </si>
  <si>
    <t>大航海-史萊姆島。直接解鎖</t>
  </si>
  <si>
    <t>檢查船舶</t>
  </si>
  <si>
    <t>船裡的是</t>
  </si>
  <si>
    <t>力敏智+5
梅德利爾的信</t>
  </si>
  <si>
    <t>大航海-阿特羅波斯，完成島上任務即可解鎖。</t>
  </si>
  <si>
    <t>暗影島派遣聖療團</t>
  </si>
  <si>
    <t>無盡的魔的殘骸</t>
  </si>
  <si>
    <t>大航海-暗影島系列任務完成即可，屬於T1跑島部分。</t>
  </si>
  <si>
    <t>改變結果的一票</t>
  </si>
  <si>
    <t>托托皮亞的重大投票</t>
  </si>
  <si>
    <t>18</t>
  </si>
  <si>
    <t>完成托托皮亞一日老師日常5次解鎖新支線任務四足動物下肢爭議，完成該支線後解鎖日常。</t>
  </si>
  <si>
    <t>白色的陽光，藍色的波浪，粉紅色的風</t>
  </si>
  <si>
    <t>克拉夫的衝浪教室</t>
  </si>
  <si>
    <t>裝飾品:巨大水槽</t>
  </si>
  <si>
    <t>裝飾品</t>
  </si>
  <si>
    <t>T3完成帕普尼卡任務解鎖，沒啥必要做的日常。</t>
  </si>
  <si>
    <t>海上的魚</t>
  </si>
  <si>
    <t>調查濃霧山脊</t>
  </si>
  <si>
    <t>調查濃霧山脊-西部</t>
  </si>
  <si>
    <t>在貝倫城內右上角接取尋找星辰護衛後完成一系列星辰護衛相關任務直到完成討伐貝爾圖斯才能解鎖！整個任務鏈又臭又長，要跑好幾個島嶼還要進星辰護衛副本，屬於是方舟舊時代關聯星辰護衛的任務了。獎勵也很差，不是全聲望都齊了不建議做。</t>
  </si>
  <si>
    <t>調查濃霧山脊-東部</t>
  </si>
  <si>
    <t>調查濃霧山脊-中央</t>
  </si>
  <si>
    <t>調查赤紅沙漠</t>
  </si>
  <si>
    <t>為了安全而討伐</t>
  </si>
  <si>
    <t>赤紅沙漠生態報告書</t>
  </si>
  <si>
    <t>嚴酷的沙漠</t>
  </si>
  <si>
    <t>調查酷寒避難所</t>
  </si>
  <si>
    <t>冒著嚴寒</t>
  </si>
  <si>
    <t>碰撞的冰與冰</t>
  </si>
  <si>
    <t>結晶的秘密</t>
  </si>
  <si>
    <t>星辰護衛</t>
  </si>
  <si>
    <t>調查混沌星辰護衛的狀態</t>
  </si>
  <si>
    <t>11</t>
  </si>
  <si>
    <t xml:space="preserve">
伊斯特勒島之心</t>
  </si>
  <si>
    <t>島之心</t>
  </si>
  <si>
    <t>T3階段可接，在貝倫城中間傳送點附近會出現尋找卡丹系列任務，全部完成後解鎖該日常。任務地點位於大航海-伊斯特勒島。最後獎勵島之心</t>
  </si>
  <si>
    <t>貝倫魔法學會</t>
  </si>
  <si>
    <t>感覺到活躍的魔力了</t>
  </si>
  <si>
    <t>冒險物秘密地圖</t>
  </si>
  <si>
    <t>航海冒險物</t>
  </si>
  <si>
    <t>完成貝倫南部主線後，在貝倫北部-貝倫城內接取紫色任務艾達琳的召喚並完成，第二天在貝倫城內接取紫色任務調查坎達利亞聖石並完成即可解鎖。解鎖需要2天</t>
  </si>
  <si>
    <t>坎達裡亞商團</t>
  </si>
  <si>
    <t>從北部到南部</t>
  </si>
  <si>
    <t>傳說-英雄卡牌包</t>
  </si>
  <si>
    <t>卡牌包</t>
  </si>
  <si>
    <t>完成貝倫南部主線後，在貝倫北部-貝倫城內接取紫色任務艾達琳的召喚並完成即可解鎖</t>
  </si>
  <si>
    <t>從南部到北部</t>
  </si>
  <si>
    <t>流經盧加尼克河的故事</t>
  </si>
  <si>
    <t>9</t>
  </si>
  <si>
    <t>父女的旅行</t>
  </si>
  <si>
    <t>無法實現的旅行</t>
  </si>
  <si>
    <t>結緣石</t>
  </si>
  <si>
    <t>偉大藝術品#50</t>
  </si>
  <si>
    <t>完成貝倫南部-坎達裡亞領地的黃色支線任務"黑格爾的女兒，莉莉"以及後續任務百合的花語即可解鎖</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</si>
</sst>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
    <numFmt numFmtId="166" formatCode="yyyy-mm"/>
    <numFmt numFmtId="167" formatCode="m&quot;/&quot;d&quot; &quot;ddd"/>
    <numFmt numFmtId="168" formatCode="m-d"/>
  </numFmts>
  <fonts count="46">
    <font>
      <sz val="10.0"/>
      <color rgb="FF000000"/>
      <name val="Arial"/>
      <scheme val="minor"/>
    </font>
    <font>
      <sz val="27.0"/>
      <color theme="1"/>
      <name val="Arial"/>
      <scheme val="minor"/>
    </font>
    <font>
      <sz val="22.0"/>
      <color theme="1"/>
      <name val="Arial"/>
      <scheme val="minor"/>
    </font>
    <font>
      <sz val="18.0"/>
      <color theme="1"/>
      <name val="Arial"/>
      <scheme val="minor"/>
    </font>
    <font>
      <sz val="15.0"/>
      <color theme="1"/>
      <name val="Arial"/>
    </font>
    <font>
      <sz val="18.0"/>
      <color rgb="FF000000"/>
      <name val="Arial"/>
      <scheme val="minor"/>
    </font>
    <font>
      <sz val="13.0"/>
      <color rgb="FF000000"/>
      <name val="Arial"/>
      <scheme val="minor"/>
    </font>
    <font>
      <sz val="13.0"/>
      <color rgb="FF000000"/>
      <name val="Arial"/>
    </font>
    <font>
      <b/>
      <sz val="30.0"/>
      <color theme="1"/>
      <name val="Arial"/>
      <scheme val="minor"/>
    </font>
    <font/>
    <font>
      <b/>
      <sz val="15.0"/>
      <color theme="1"/>
      <name val="Microsoft JhengHei"/>
    </font>
    <font>
      <sz val="15.0"/>
      <color theme="1"/>
      <name val="Arial"/>
      <scheme val="minor"/>
    </font>
    <font>
      <u/>
      <sz val="15.0"/>
      <color rgb="FF0000FF"/>
    </font>
    <font>
      <u/>
      <sz val="15.0"/>
      <color rgb="FF0000FF"/>
    </font>
    <font>
      <b/>
      <sz val="15.0"/>
      <color rgb="FF000000"/>
      <name val="&quot;Microsoft JhengHei&quot;"/>
    </font>
    <font>
      <sz val="12.0"/>
      <color theme="1"/>
      <name val="Arial"/>
    </font>
    <font>
      <color theme="1"/>
      <name val="Arial"/>
    </font>
    <font>
      <b/>
      <sz val="12.0"/>
      <color theme="1"/>
      <name val="Microsoft JhengHei"/>
    </font>
    <font>
      <sz val="10.0"/>
      <color theme="1"/>
      <name val="Arial"/>
      <scheme val="minor"/>
    </font>
    <font>
      <color theme="1"/>
      <name val="Arial"/>
      <scheme val="minor"/>
    </font>
    <font>
      <b/>
      <sz val="25.0"/>
      <color rgb="FF000000"/>
      <name val="Arial"/>
      <scheme val="minor"/>
    </font>
    <font>
      <b/>
      <sz val="15.0"/>
      <color rgb="FF0000FF"/>
      <name val="Microsoft JhengHei"/>
    </font>
    <font>
      <b/>
      <sz val="15.0"/>
      <color rgb="FF1F1F1F"/>
      <name val="Microsoft JhengHei"/>
    </font>
    <font>
      <b/>
      <sz val="15.0"/>
      <color rgb="FF783F04"/>
      <name val="Microsoft JhengHei"/>
    </font>
    <font>
      <b/>
      <sz val="25.0"/>
      <color theme="1"/>
      <name val="Arial"/>
      <scheme val="minor"/>
    </font>
    <font>
      <b/>
      <color theme="1"/>
      <name val="Arial"/>
      <scheme val="minor"/>
    </font>
    <font>
      <color rgb="FF000000"/>
      <name val="Arial"/>
      <scheme val="minor"/>
    </font>
    <font>
      <sz val="11.0"/>
      <color theme="1"/>
      <name val="Calibri"/>
    </font>
    <font>
      <b/>
      <sz val="11.0"/>
      <color theme="1"/>
      <name val="Calibri"/>
    </font>
    <font>
      <b/>
      <sz val="14.0"/>
      <color theme="1"/>
      <name val="Microsoft JhengHei"/>
    </font>
    <font>
      <b/>
      <sz val="15.0"/>
      <color rgb="FFFFFF00"/>
      <name val="Microsoft JhengHei"/>
    </font>
    <font>
      <b/>
      <sz val="14.0"/>
      <color rgb="FFFF0000"/>
      <name val="Microsoft JhengHei"/>
    </font>
    <font>
      <b/>
      <i/>
      <sz val="15.0"/>
      <color theme="1"/>
      <name val="Microsoft JhengHei"/>
    </font>
    <font>
      <sz val="12.0"/>
      <color theme="1"/>
      <name val="Arial"/>
      <scheme val="minor"/>
    </font>
    <font>
      <b/>
      <sz val="13.0"/>
      <color theme="1"/>
      <name val="Microsoft JhengHei"/>
    </font>
    <font>
      <sz val="19.0"/>
      <color theme="1"/>
      <name val="Arial"/>
      <scheme val="minor"/>
    </font>
    <font>
      <b/>
      <u/>
      <sz val="17.0"/>
      <color rgb="FF000000"/>
      <name val="Inter"/>
    </font>
    <font>
      <sz val="19.0"/>
      <color rgb="FFFF0000"/>
      <name val="Arial"/>
      <scheme val="minor"/>
    </font>
    <font>
      <sz val="14.0"/>
      <color theme="1"/>
      <name val="Arial"/>
      <scheme val="minor"/>
    </font>
    <font>
      <sz val="14.0"/>
      <color rgb="FFFF0000"/>
      <name val="Arial"/>
      <scheme val="minor"/>
    </font>
    <font>
      <sz val="14.0"/>
      <color rgb="FF333333"/>
      <name val="&quot;Helvetica Neue&quot;"/>
    </font>
    <font>
      <sz val="11.0"/>
      <color theme="1"/>
      <name val="Arial"/>
      <scheme val="minor"/>
    </font>
    <font>
      <b/>
      <sz val="11.0"/>
      <color theme="4"/>
      <name val="Arial"/>
      <scheme val="minor"/>
    </font>
    <font>
      <b/>
      <sz val="11.0"/>
      <color rgb="FF274E13"/>
      <name val="Arial"/>
      <scheme val="minor"/>
    </font>
    <font>
      <b/>
      <sz val="11.0"/>
      <color rgb="FF4285F4"/>
      <name val="Arial"/>
      <scheme val="minor"/>
    </font>
    <font>
      <b/>
      <sz val="11.0"/>
      <color rgb="FF274E13"/>
      <name val="Arial"/>
    </font>
  </fonts>
  <fills count="35">
    <fill>
      <patternFill patternType="none"/>
    </fill>
    <fill>
      <patternFill patternType="lightGray"/>
    </fill>
    <fill>
      <patternFill patternType="solid">
        <fgColor rgb="FFB7B7B7"/>
        <bgColor rgb="FFB7B7B7"/>
      </patternFill>
    </fill>
    <fill>
      <patternFill patternType="solid">
        <fgColor rgb="FFFFE599"/>
        <bgColor rgb="FFFFE599"/>
      </patternFill>
    </fill>
    <fill>
      <patternFill patternType="solid">
        <fgColor rgb="FFF6B26B"/>
        <bgColor rgb="FFF6B26B"/>
      </patternFill>
    </fill>
    <fill>
      <patternFill patternType="solid">
        <fgColor rgb="FFD9D2E9"/>
        <bgColor rgb="FFD9D2E9"/>
      </patternFill>
    </fill>
    <fill>
      <patternFill patternType="solid">
        <fgColor rgb="FFD0E0E3"/>
        <bgColor rgb="FFD0E0E3"/>
      </patternFill>
    </fill>
    <fill>
      <patternFill patternType="solid">
        <fgColor rgb="FFFFFFFF"/>
        <bgColor rgb="FFFFFFFF"/>
      </patternFill>
    </fill>
    <fill>
      <patternFill patternType="solid">
        <fgColor rgb="FFA4C2F4"/>
        <bgColor rgb="FFA4C2F4"/>
      </patternFill>
    </fill>
    <fill>
      <patternFill patternType="solid">
        <fgColor rgb="FFB6D7A8"/>
        <bgColor rgb="FFB6D7A8"/>
      </patternFill>
    </fill>
    <fill>
      <patternFill patternType="solid">
        <fgColor rgb="FF6D9EEB"/>
        <bgColor rgb="FF6D9EEB"/>
      </patternFill>
    </fill>
    <fill>
      <patternFill patternType="solid">
        <fgColor rgb="FFFFF2CC"/>
        <bgColor rgb="FFFFF2CC"/>
      </patternFill>
    </fill>
    <fill>
      <patternFill patternType="solid">
        <fgColor rgb="FF999999"/>
        <bgColor rgb="FF999999"/>
      </patternFill>
    </fill>
    <fill>
      <patternFill patternType="solid">
        <fgColor rgb="FFC27BA0"/>
        <bgColor rgb="FFC27BA0"/>
      </patternFill>
    </fill>
    <fill>
      <patternFill patternType="solid">
        <fgColor rgb="FF93C47D"/>
        <bgColor rgb="FF93C47D"/>
      </patternFill>
    </fill>
    <fill>
      <patternFill patternType="solid">
        <fgColor rgb="FFC9DAF8"/>
        <bgColor rgb="FFC9DAF8"/>
      </patternFill>
    </fill>
    <fill>
      <patternFill patternType="solid">
        <fgColor rgb="FF9FC5E8"/>
        <bgColor rgb="FF9FC5E8"/>
      </patternFill>
    </fill>
    <fill>
      <patternFill patternType="solid">
        <fgColor rgb="FFCFE2F3"/>
        <bgColor rgb="FFCFE2F3"/>
      </patternFill>
    </fill>
    <fill>
      <patternFill patternType="solid">
        <fgColor rgb="FFFCE5CD"/>
        <bgColor rgb="FFFCE5CD"/>
      </patternFill>
    </fill>
    <fill>
      <patternFill patternType="solid">
        <fgColor theme="9"/>
        <bgColor theme="9"/>
      </patternFill>
    </fill>
    <fill>
      <patternFill patternType="solid">
        <fgColor rgb="FFD9EAD3"/>
        <bgColor rgb="FFD9EAD3"/>
      </patternFill>
    </fill>
    <fill>
      <patternFill patternType="solid">
        <fgColor rgb="FFF4CCCC"/>
        <bgColor rgb="FFF4CCCC"/>
      </patternFill>
    </fill>
    <fill>
      <patternFill patternType="solid">
        <fgColor rgb="FF8E7CC3"/>
        <bgColor rgb="FF8E7CC3"/>
      </patternFill>
    </fill>
    <fill>
      <patternFill patternType="solid">
        <fgColor rgb="FFB4A7D6"/>
        <bgColor rgb="FFB4A7D6"/>
      </patternFill>
    </fill>
    <fill>
      <patternFill patternType="solid">
        <fgColor rgb="FFCCCCCC"/>
        <bgColor rgb="FFCCCCCC"/>
      </patternFill>
    </fill>
    <fill>
      <patternFill patternType="solid">
        <fgColor rgb="FF000000"/>
        <bgColor rgb="FF000000"/>
      </patternFill>
    </fill>
    <fill>
      <patternFill patternType="solid">
        <fgColor rgb="FF434343"/>
        <bgColor rgb="FF434343"/>
      </patternFill>
    </fill>
    <fill>
      <patternFill patternType="solid">
        <fgColor rgb="FFFFFF00"/>
        <bgColor rgb="FFFFFF00"/>
      </patternFill>
    </fill>
    <fill>
      <patternFill patternType="solid">
        <fgColor rgb="FFFF9900"/>
        <bgColor rgb="FFFF9900"/>
      </patternFill>
    </fill>
    <fill>
      <patternFill patternType="solid">
        <fgColor rgb="FFD9D9D9"/>
        <bgColor rgb="FFD9D9D9"/>
      </patternFill>
    </fill>
    <fill>
      <patternFill patternType="solid">
        <fgColor theme="0"/>
        <bgColor theme="0"/>
      </patternFill>
    </fill>
    <fill>
      <patternFill patternType="solid">
        <fgColor rgb="FFCC4125"/>
        <bgColor rgb="FFCC4125"/>
      </patternFill>
    </fill>
    <fill>
      <patternFill patternType="solid">
        <fgColor rgb="FFF3F3F3"/>
        <bgColor rgb="FFF3F3F3"/>
      </patternFill>
    </fill>
    <fill>
      <patternFill patternType="solid">
        <fgColor rgb="FFE6B8AF"/>
        <bgColor rgb="FFE6B8AF"/>
      </patternFill>
    </fill>
    <fill>
      <patternFill patternType="solid">
        <fgColor rgb="FFF9CB9C"/>
        <bgColor rgb="FFF9CB9C"/>
      </patternFill>
    </fill>
  </fills>
  <borders count="58">
    <border/>
    <border>
      <bottom style="thin">
        <color rgb="FF000000"/>
      </bottom>
    </border>
    <border>
      <left style="thin">
        <color rgb="FF000000"/>
      </left>
    </border>
    <border>
      <right style="thin">
        <color rgb="FF000000"/>
      </right>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left style="thin">
        <color rgb="FF674EA7"/>
      </left>
      <top style="thin">
        <color rgb="FF674EA7"/>
      </top>
    </border>
    <border>
      <top style="thin">
        <color rgb="FF674EA7"/>
      </top>
    </border>
    <border>
      <right style="thin">
        <color rgb="FF674EA7"/>
      </right>
      <top style="thin">
        <color rgb="FF674EA7"/>
      </top>
    </border>
    <border>
      <left style="thin">
        <color rgb="FF674EA7"/>
      </left>
    </border>
    <border>
      <right style="thin">
        <color rgb="FF674EA7"/>
      </right>
    </border>
    <border>
      <left style="thin">
        <color rgb="FF674EA7"/>
      </left>
      <bottom style="thin">
        <color rgb="FF674EA7"/>
      </bottom>
    </border>
    <border>
      <bottom style="thin">
        <color rgb="FF674EA7"/>
      </bottom>
    </border>
    <border>
      <right style="thin">
        <color rgb="FF674EA7"/>
      </right>
      <bottom style="thin">
        <color rgb="FF674EA7"/>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medium">
        <color rgb="FF000000"/>
      </left>
      <top style="thick">
        <color rgb="FF000000"/>
      </top>
      <bottom style="medium">
        <color rgb="FF000000"/>
      </bottom>
    </border>
    <border>
      <right style="medium">
        <color rgb="FF000000"/>
      </right>
      <top style="thick">
        <color rgb="FF000000"/>
      </top>
      <bottom style="medium">
        <color rgb="FF000000"/>
      </bottom>
    </border>
    <border>
      <left style="thick">
        <color rgb="FF000000"/>
      </left>
      <right style="thick">
        <color rgb="FF000000"/>
      </right>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thick">
        <color rgb="FF000000"/>
      </right>
      <bottom style="medium">
        <color rgb="FF000000"/>
      </bottom>
    </border>
    <border>
      <left style="thick">
        <color rgb="FF000000"/>
      </left>
      <right style="thick">
        <color rgb="FF000000"/>
      </right>
      <bottom style="medium">
        <color rgb="FF000000"/>
      </bottom>
    </border>
    <border>
      <left style="thick">
        <color rgb="FF000000"/>
      </left>
      <right style="medium">
        <color rgb="FF000000"/>
      </right>
    </border>
    <border>
      <left style="thick">
        <color rgb="FF000000"/>
      </left>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top style="thick">
        <color rgb="FF000000"/>
      </top>
      <bottom style="thick">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thick">
        <color rgb="FF000000"/>
      </right>
      <top style="thick">
        <color rgb="FF000000"/>
      </top>
    </border>
    <border>
      <left style="thick">
        <color rgb="FF000000"/>
      </left>
      <right style="thick">
        <color rgb="FF000000"/>
      </right>
      <top style="thick">
        <color rgb="FF000000"/>
      </top>
      <bottom style="thick">
        <color rgb="FF000000"/>
      </bottom>
    </border>
    <border>
      <right style="thick">
        <color rgb="FF000000"/>
      </right>
    </border>
    <border>
      <left style="thick">
        <color rgb="FF000000"/>
      </left>
      <right style="thick">
        <color rgb="FF000000"/>
      </right>
      <top style="thin">
        <color rgb="FF000000"/>
      </top>
      <bottom style="thin">
        <color rgb="FF000000"/>
      </bottom>
    </border>
    <border>
      <right style="thin">
        <color rgb="FF000000"/>
      </right>
      <top style="thick">
        <color rgb="FF000000"/>
      </top>
      <bottom style="thick">
        <color rgb="FF000000"/>
      </bottom>
    </border>
    <border>
      <left style="thin">
        <color rgb="FF000000"/>
      </left>
      <top style="thick">
        <color rgb="FF000000"/>
      </top>
      <bottom style="thick">
        <color rgb="FF000000"/>
      </bottom>
    </border>
    <border>
      <right style="thick">
        <color rgb="FF000000"/>
      </right>
      <top style="thick">
        <color rgb="FF000000"/>
      </top>
      <bottom style="thick">
        <color rgb="FF000000"/>
      </bottom>
    </border>
    <border>
      <right style="thick">
        <color rgb="FF000000"/>
      </right>
      <bottom style="thin">
        <color rgb="FF000000"/>
      </bottom>
    </border>
    <border>
      <left style="thin">
        <color rgb="FF000000"/>
      </left>
      <right style="thick">
        <color rgb="FF000000"/>
      </right>
      <bottom style="thin">
        <color rgb="FF000000"/>
      </bottom>
    </border>
    <border>
      <left style="thick">
        <color rgb="FF000000"/>
      </left>
      <right style="thick">
        <color rgb="FF000000"/>
      </right>
      <top style="thick">
        <color rgb="FF000000"/>
      </top>
    </border>
    <border>
      <left style="thick">
        <color rgb="FF000000"/>
      </left>
      <top style="thick">
        <color rgb="FF000000"/>
      </top>
    </border>
    <border>
      <right style="thick">
        <color rgb="FF000000"/>
      </right>
      <top style="thin">
        <color rgb="FF000000"/>
      </top>
    </border>
    <border>
      <left style="thick">
        <color rgb="FF000000"/>
      </left>
      <right style="thick">
        <color rgb="FF000000"/>
      </right>
      <bottom style="thick">
        <color rgb="FF000000"/>
      </bottom>
    </border>
    <border>
      <right style="thick">
        <color rgb="FF000000"/>
      </right>
      <bottom style="thick">
        <color rgb="FF000000"/>
      </bottom>
    </border>
    <border>
      <left style="thick">
        <color rgb="FF000000"/>
      </left>
      <right style="thick">
        <color rgb="FF000000"/>
      </right>
      <bottom style="thick">
        <color rgb="FFB6D7A8"/>
      </bottom>
    </border>
    <border>
      <left style="thick">
        <color rgb="FF000000"/>
      </left>
      <right style="thin">
        <color rgb="FF000000"/>
      </right>
      <top style="thin">
        <color rgb="FF000000"/>
      </top>
      <bottom style="thin">
        <color rgb="FF000000"/>
      </bottom>
    </border>
    <border>
      <left style="thick">
        <color rgb="FF000000"/>
      </left>
      <right style="thick">
        <color rgb="FF000000"/>
      </right>
      <top style="thick">
        <color rgb="FFB6D7A8"/>
      </top>
    </border>
    <border>
      <left style="thick">
        <color rgb="FF000000"/>
      </left>
      <bottom style="thick">
        <color rgb="FF000000"/>
      </bottom>
    </border>
  </borders>
  <cellStyleXfs count="1">
    <xf borderId="0" fillId="0" fontId="0" numFmtId="0" applyAlignment="1" applyFont="1"/>
  </cellStyleXfs>
  <cellXfs count="31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164" xfId="0" applyAlignment="1" applyFont="1" applyNumberFormat="1">
      <alignment horizontal="center" readingOrder="0"/>
    </xf>
    <xf borderId="0" fillId="2" fontId="3" numFmtId="0" xfId="0" applyAlignment="1" applyFill="1" applyFont="1">
      <alignment horizontal="center" readingOrder="0" vertical="center"/>
    </xf>
    <xf borderId="0" fillId="3" fontId="3" numFmtId="0" xfId="0" applyAlignment="1" applyFill="1" applyFont="1">
      <alignment horizontal="center" readingOrder="0" vertical="center"/>
    </xf>
    <xf borderId="0" fillId="4" fontId="4" numFmtId="0" xfId="0" applyAlignment="1" applyFill="1" applyFont="1">
      <alignment horizontal="center" readingOrder="0" vertical="top"/>
    </xf>
    <xf borderId="0" fillId="5" fontId="3" numFmtId="0" xfId="0" applyAlignment="1" applyFill="1" applyFont="1">
      <alignment horizontal="center" readingOrder="0" vertical="center"/>
    </xf>
    <xf borderId="0" fillId="6" fontId="5" numFmtId="0" xfId="0" applyAlignment="1" applyFill="1" applyFont="1">
      <alignment horizontal="center" readingOrder="0" vertical="center"/>
    </xf>
    <xf borderId="0" fillId="6" fontId="5" numFmtId="165" xfId="0" applyAlignment="1" applyFont="1" applyNumberFormat="1">
      <alignment horizontal="center" readingOrder="0" vertical="center"/>
    </xf>
    <xf borderId="0" fillId="6" fontId="3" numFmtId="0" xfId="0" applyAlignment="1" applyFont="1">
      <alignment horizontal="center" readingOrder="0" vertical="center"/>
    </xf>
    <xf borderId="0" fillId="7" fontId="4" numFmtId="0" xfId="0" applyAlignment="1" applyFill="1" applyFont="1">
      <alignment horizontal="center" readingOrder="0" vertical="top"/>
    </xf>
    <xf borderId="0" fillId="6" fontId="5" numFmtId="166" xfId="0" applyAlignment="1" applyFont="1" applyNumberFormat="1">
      <alignment horizontal="center" readingOrder="0" vertical="center"/>
    </xf>
    <xf borderId="0" fillId="6" fontId="6" numFmtId="0" xfId="0" applyAlignment="1" applyFont="1">
      <alignment horizontal="center" readingOrder="0" vertical="center"/>
    </xf>
    <xf borderId="0" fillId="6" fontId="7" numFmtId="0" xfId="0" applyAlignment="1" applyFont="1">
      <alignment horizontal="center" readingOrder="0"/>
    </xf>
    <xf borderId="0" fillId="5" fontId="3" numFmtId="0" xfId="0" applyAlignment="1" applyFont="1">
      <alignment horizontal="center" vertical="center"/>
    </xf>
    <xf borderId="0" fillId="6" fontId="5" numFmtId="0" xfId="0" applyAlignment="1" applyFont="1">
      <alignment horizontal="center" vertical="center"/>
    </xf>
    <xf borderId="0" fillId="6" fontId="5" numFmtId="0" xfId="0" applyFont="1"/>
    <xf borderId="0" fillId="7" fontId="8" numFmtId="0" xfId="0" applyAlignment="1" applyFont="1">
      <alignment horizontal="center" readingOrder="0" vertical="center"/>
    </xf>
    <xf borderId="1" fillId="2" fontId="8" numFmtId="0" xfId="0" applyAlignment="1" applyBorder="1" applyFont="1">
      <alignment horizontal="center" readingOrder="0" vertical="center"/>
    </xf>
    <xf borderId="1" fillId="0" fontId="9" numFmtId="0" xfId="0" applyBorder="1" applyFont="1"/>
    <xf borderId="2" fillId="7" fontId="8" numFmtId="0" xfId="0" applyAlignment="1" applyBorder="1" applyFont="1">
      <alignment horizontal="center" readingOrder="0" vertical="center"/>
    </xf>
    <xf borderId="2" fillId="8" fontId="4" numFmtId="0" xfId="0" applyAlignment="1" applyBorder="1" applyFill="1" applyFont="1">
      <alignment horizontal="center"/>
    </xf>
    <xf borderId="0" fillId="8" fontId="4" numFmtId="0" xfId="0" applyAlignment="1" applyFont="1">
      <alignment horizontal="center" vertical="center"/>
    </xf>
    <xf borderId="3" fillId="8" fontId="4" numFmtId="0" xfId="0" applyAlignment="1" applyBorder="1" applyFont="1">
      <alignment horizontal="center" readingOrder="0" vertical="center"/>
    </xf>
    <xf borderId="0" fillId="9" fontId="4" numFmtId="0" xfId="0" applyAlignment="1" applyFill="1" applyFont="1">
      <alignment horizontal="center" readingOrder="0" vertical="center"/>
    </xf>
    <xf borderId="3" fillId="9" fontId="4" numFmtId="0" xfId="0" applyAlignment="1" applyBorder="1" applyFont="1">
      <alignment horizontal="center" readingOrder="0" vertical="center"/>
    </xf>
    <xf borderId="0" fillId="8" fontId="4" numFmtId="0" xfId="0" applyAlignment="1" applyFont="1">
      <alignment horizontal="center"/>
    </xf>
    <xf borderId="4" fillId="9" fontId="4" numFmtId="0" xfId="0" applyAlignment="1" applyBorder="1" applyFont="1">
      <alignment horizontal="center" readingOrder="0" vertical="center"/>
    </xf>
    <xf borderId="2" fillId="0" fontId="9" numFmtId="0" xfId="0" applyBorder="1" applyFont="1"/>
    <xf borderId="2" fillId="0" fontId="10" numFmtId="0" xfId="0" applyAlignment="1" applyBorder="1" applyFont="1">
      <alignment horizontal="center" readingOrder="0" vertical="center"/>
    </xf>
    <xf borderId="0" fillId="0" fontId="11" numFmtId="0" xfId="0" applyAlignment="1" applyFont="1">
      <alignment horizontal="center" readingOrder="0" vertical="center"/>
    </xf>
    <xf borderId="0" fillId="0" fontId="10" numFmtId="0" xfId="0" applyAlignment="1" applyFont="1">
      <alignment horizontal="center" readingOrder="0" vertical="center"/>
    </xf>
    <xf borderId="3" fillId="0" fontId="11" numFmtId="0" xfId="0" applyAlignment="1" applyBorder="1" applyFont="1">
      <alignment horizontal="center" readingOrder="0" vertical="center"/>
    </xf>
    <xf borderId="0" fillId="0" fontId="10" numFmtId="0" xfId="0" applyAlignment="1" applyFont="1">
      <alignment horizontal="center" readingOrder="0"/>
    </xf>
    <xf borderId="3" fillId="0" fontId="10" numFmtId="0" xfId="0" applyAlignment="1" applyBorder="1" applyFont="1">
      <alignment horizontal="center" readingOrder="0"/>
    </xf>
    <xf borderId="3" fillId="0" fontId="10" numFmtId="0" xfId="0" applyAlignment="1" applyBorder="1" applyFont="1">
      <alignment horizontal="center" readingOrder="0" vertical="center"/>
    </xf>
    <xf borderId="0" fillId="0" fontId="4" numFmtId="0" xfId="0" applyAlignment="1" applyFont="1">
      <alignment horizontal="center"/>
    </xf>
    <xf borderId="0" fillId="0" fontId="10" numFmtId="0" xfId="0" applyAlignment="1" applyFont="1">
      <alignment horizontal="center"/>
    </xf>
    <xf borderId="3" fillId="0" fontId="4" numFmtId="0" xfId="0" applyAlignment="1" applyBorder="1" applyFont="1">
      <alignment horizontal="center" readingOrder="0"/>
    </xf>
    <xf borderId="1" fillId="0" fontId="10" numFmtId="0" xfId="0" applyAlignment="1" applyBorder="1" applyFont="1">
      <alignment horizontal="center" readingOrder="0" vertical="center"/>
    </xf>
    <xf borderId="0" fillId="0" fontId="10" numFmtId="0" xfId="0" applyAlignment="1" applyFont="1">
      <alignment horizontal="center"/>
    </xf>
    <xf borderId="3" fillId="0" fontId="10" numFmtId="0" xfId="0" applyAlignment="1" applyBorder="1" applyFont="1">
      <alignment horizontal="center"/>
    </xf>
    <xf borderId="5" fillId="8" fontId="4" numFmtId="0" xfId="0" applyAlignment="1" applyBorder="1" applyFont="1">
      <alignment horizontal="center"/>
    </xf>
    <xf borderId="6" fillId="8" fontId="4" numFmtId="0" xfId="0" applyAlignment="1" applyBorder="1" applyFont="1">
      <alignment horizontal="center" vertical="center"/>
    </xf>
    <xf borderId="4" fillId="8" fontId="4" numFmtId="0" xfId="0" applyAlignment="1" applyBorder="1" applyFont="1">
      <alignment horizontal="center" readingOrder="0" vertical="center"/>
    </xf>
    <xf borderId="6" fillId="9" fontId="4" numFmtId="0" xfId="0" applyAlignment="1" applyBorder="1" applyFont="1">
      <alignment horizontal="center" readingOrder="0" vertical="center"/>
    </xf>
    <xf borderId="6" fillId="8" fontId="4" numFmtId="0" xfId="0" applyAlignment="1" applyBorder="1" applyFont="1">
      <alignment horizontal="center"/>
    </xf>
    <xf borderId="0" fillId="0" fontId="12" numFmtId="0" xfId="0" applyAlignment="1" applyFont="1">
      <alignment horizontal="center" readingOrder="0" vertical="center"/>
    </xf>
    <xf borderId="0" fillId="0" fontId="11" numFmtId="0" xfId="0" applyAlignment="1" applyFont="1">
      <alignment horizontal="center" readingOrder="0" vertical="center"/>
    </xf>
    <xf borderId="0" fillId="0" fontId="10" numFmtId="0" xfId="0" applyAlignment="1" applyFont="1">
      <alignment horizontal="center" vertical="center"/>
    </xf>
    <xf borderId="0" fillId="0" fontId="13" numFmtId="0" xfId="0" applyAlignment="1" applyFont="1">
      <alignment horizontal="center" readingOrder="0"/>
    </xf>
    <xf borderId="7" fillId="0" fontId="9" numFmtId="0" xfId="0" applyBorder="1" applyFont="1"/>
    <xf borderId="1" fillId="0" fontId="11" numFmtId="0" xfId="0" applyAlignment="1" applyBorder="1" applyFont="1">
      <alignment horizontal="center" readingOrder="0" vertical="center"/>
    </xf>
    <xf borderId="1" fillId="0" fontId="10" numFmtId="0" xfId="0" applyAlignment="1" applyBorder="1" applyFont="1">
      <alignment horizontal="center" vertical="center"/>
    </xf>
    <xf borderId="8" fillId="0" fontId="11" numFmtId="0" xfId="0" applyAlignment="1" applyBorder="1" applyFont="1">
      <alignment horizontal="center" vertical="center"/>
    </xf>
    <xf borderId="0" fillId="7" fontId="14" numFmtId="0" xfId="0" applyAlignment="1" applyFont="1">
      <alignment horizontal="center" readingOrder="0"/>
    </xf>
    <xf borderId="0" fillId="0" fontId="11" numFmtId="0" xfId="0" applyAlignment="1" applyFont="1">
      <alignment horizontal="center" vertical="center"/>
    </xf>
    <xf borderId="3" fillId="0" fontId="11" numFmtId="0" xfId="0" applyAlignment="1" applyBorder="1" applyFont="1">
      <alignment horizontal="center" vertical="center"/>
    </xf>
    <xf borderId="1" fillId="0" fontId="10" numFmtId="0" xfId="0" applyAlignment="1" applyBorder="1" applyFont="1">
      <alignment horizontal="center"/>
    </xf>
    <xf borderId="8" fillId="0" fontId="10" numFmtId="0" xfId="0" applyAlignment="1" applyBorder="1" applyFont="1">
      <alignment horizontal="center"/>
    </xf>
    <xf borderId="8" fillId="0" fontId="11" numFmtId="0" xfId="0" applyAlignment="1" applyBorder="1" applyFont="1">
      <alignment horizontal="center" readingOrder="0" vertical="center"/>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horizontal="center" readingOrder="0" vertical="center"/>
    </xf>
    <xf borderId="1" fillId="0" fontId="11" numFmtId="0" xfId="0" applyAlignment="1" applyBorder="1" applyFont="1">
      <alignment horizontal="center" readingOrder="0" vertical="center"/>
    </xf>
    <xf borderId="0" fillId="0" fontId="18" numFmtId="0" xfId="0" applyAlignment="1" applyFont="1">
      <alignment horizontal="center" readingOrder="0" vertical="center"/>
    </xf>
    <xf borderId="0" fillId="0" fontId="19" numFmtId="0" xfId="0" applyAlignment="1" applyFont="1">
      <alignment horizontal="center" vertical="center"/>
    </xf>
    <xf borderId="0" fillId="0" fontId="19" numFmtId="0" xfId="0" applyAlignment="1" applyFont="1">
      <alignment horizontal="center" readingOrder="0" vertical="center"/>
    </xf>
    <xf borderId="1" fillId="0" fontId="19" numFmtId="0" xfId="0" applyAlignment="1" applyBorder="1" applyFont="1">
      <alignment horizontal="center" vertical="center"/>
    </xf>
    <xf borderId="0" fillId="0" fontId="19" numFmtId="0" xfId="0" applyAlignment="1" applyFont="1">
      <alignment readingOrder="0"/>
    </xf>
    <xf borderId="0" fillId="10" fontId="20" numFmtId="0" xfId="0" applyAlignment="1" applyFill="1" applyFont="1">
      <alignment horizontal="center" readingOrder="0" vertical="center"/>
    </xf>
    <xf borderId="0" fillId="0" fontId="11" numFmtId="0" xfId="0" applyAlignment="1" applyFont="1">
      <alignment readingOrder="0"/>
    </xf>
    <xf borderId="9" fillId="0" fontId="21" numFmtId="0" xfId="0" applyAlignment="1" applyBorder="1" applyFont="1">
      <alignment horizontal="center" readingOrder="0" vertical="center"/>
    </xf>
    <xf borderId="10" fillId="7" fontId="22" numFmtId="167" xfId="0" applyAlignment="1" applyBorder="1" applyFont="1" applyNumberFormat="1">
      <alignment horizontal="center" readingOrder="0" vertical="center"/>
    </xf>
    <xf borderId="10" fillId="0" fontId="9" numFmtId="0" xfId="0" applyBorder="1" applyFont="1"/>
    <xf borderId="10" fillId="11" fontId="10" numFmtId="0" xfId="0" applyAlignment="1" applyBorder="1" applyFill="1" applyFont="1">
      <alignment horizontal="center" readingOrder="0" vertical="center"/>
    </xf>
    <xf borderId="11" fillId="0" fontId="9" numFmtId="0" xfId="0" applyBorder="1" applyFont="1"/>
    <xf borderId="12" fillId="0" fontId="21" numFmtId="0" xfId="0" applyAlignment="1" applyBorder="1" applyFont="1">
      <alignment horizontal="center" readingOrder="0" vertical="center"/>
    </xf>
    <xf borderId="0" fillId="7" fontId="22" numFmtId="0" xfId="0" applyAlignment="1" applyFont="1">
      <alignment horizontal="center" readingOrder="0" vertical="center"/>
    </xf>
    <xf borderId="13" fillId="0" fontId="9" numFmtId="0" xfId="0" applyBorder="1" applyFont="1"/>
    <xf borderId="0" fillId="7" fontId="22" numFmtId="20" xfId="0" applyAlignment="1" applyFont="1" applyNumberFormat="1">
      <alignment horizontal="center" readingOrder="0" vertical="center"/>
    </xf>
    <xf borderId="12" fillId="0" fontId="23" numFmtId="0" xfId="0" applyAlignment="1" applyBorder="1" applyFont="1">
      <alignment horizontal="center" readingOrder="0" vertical="center"/>
    </xf>
    <xf borderId="0" fillId="0" fontId="23" numFmtId="0" xfId="0" applyAlignment="1" applyFont="1">
      <alignment horizontal="center" readingOrder="0" vertical="center"/>
    </xf>
    <xf borderId="12" fillId="0" fontId="10" numFmtId="0" xfId="0" applyAlignment="1" applyBorder="1" applyFont="1">
      <alignment horizontal="center" readingOrder="0" vertical="center"/>
    </xf>
    <xf borderId="0" fillId="11" fontId="10" numFmtId="0" xfId="0" applyAlignment="1" applyFont="1">
      <alignment horizontal="center" vertical="center"/>
    </xf>
    <xf borderId="14" fillId="0" fontId="10" numFmtId="0" xfId="0" applyAlignment="1" applyBorder="1" applyFont="1">
      <alignment horizontal="center" readingOrder="0" vertical="center"/>
    </xf>
    <xf borderId="15" fillId="0" fontId="10" numFmtId="0" xfId="0" applyAlignment="1" applyBorder="1" applyFont="1">
      <alignment horizontal="center" vertical="center"/>
    </xf>
    <xf borderId="15" fillId="0" fontId="10" numFmtId="0" xfId="0" applyAlignment="1" applyBorder="1" applyFont="1">
      <alignment horizontal="center" readingOrder="0" vertical="center"/>
    </xf>
    <xf borderId="15" fillId="11" fontId="10" numFmtId="0" xfId="0" applyAlignment="1" applyBorder="1" applyFont="1">
      <alignment horizontal="center" vertical="center"/>
    </xf>
    <xf borderId="16" fillId="0" fontId="9" numFmtId="0" xfId="0" applyBorder="1" applyFont="1"/>
    <xf borderId="0" fillId="11" fontId="10" numFmtId="0" xfId="0" applyAlignment="1" applyFont="1">
      <alignment horizontal="center" readingOrder="0" vertical="center"/>
    </xf>
    <xf borderId="15" fillId="11" fontId="10" numFmtId="0" xfId="0" applyAlignment="1" applyBorder="1" applyFont="1">
      <alignment horizontal="center" readingOrder="0" vertical="center"/>
    </xf>
    <xf borderId="0" fillId="0" fontId="11" numFmtId="0" xfId="0" applyFont="1"/>
    <xf borderId="0" fillId="12" fontId="24" numFmtId="0" xfId="0" applyAlignment="1" applyFill="1" applyFont="1">
      <alignment horizontal="center" readingOrder="0" vertical="center"/>
    </xf>
    <xf borderId="0" fillId="13" fontId="24" numFmtId="0" xfId="0" applyAlignment="1" applyFill="1" applyFont="1">
      <alignment horizontal="center" readingOrder="0" vertical="center"/>
    </xf>
    <xf borderId="0" fillId="14" fontId="24" numFmtId="0" xfId="0" applyAlignment="1" applyFill="1" applyFont="1">
      <alignment horizontal="center" readingOrder="0" vertical="center"/>
    </xf>
    <xf borderId="0" fillId="0" fontId="25" numFmtId="0" xfId="0" applyAlignment="1" applyFont="1">
      <alignment horizontal="center" readingOrder="0"/>
    </xf>
    <xf borderId="0" fillId="7" fontId="26" numFmtId="0" xfId="0" applyAlignment="1" applyFont="1">
      <alignment readingOrder="0"/>
    </xf>
    <xf borderId="0" fillId="3" fontId="19" numFmtId="0" xfId="0" applyAlignment="1" applyFont="1">
      <alignment readingOrder="0"/>
    </xf>
    <xf borderId="0" fillId="15" fontId="19" numFmtId="0" xfId="0" applyAlignment="1" applyFill="1" applyFont="1">
      <alignment readingOrder="0"/>
    </xf>
    <xf borderId="0" fillId="16" fontId="19" numFmtId="0" xfId="0" applyAlignment="1" applyFill="1" applyFont="1">
      <alignment readingOrder="0"/>
    </xf>
    <xf borderId="0" fillId="11" fontId="19" numFmtId="0" xfId="0" applyAlignment="1" applyFont="1">
      <alignment readingOrder="0"/>
    </xf>
    <xf borderId="0" fillId="11" fontId="19" numFmtId="0" xfId="0" applyFont="1"/>
    <xf borderId="0" fillId="3" fontId="19" numFmtId="0" xfId="0" applyAlignment="1" applyFont="1">
      <alignment horizontal="right" readingOrder="0"/>
    </xf>
    <xf borderId="0" fillId="11" fontId="19" numFmtId="2" xfId="0" applyFont="1" applyNumberFormat="1"/>
    <xf borderId="0" fillId="8" fontId="19" numFmtId="0" xfId="0" applyAlignment="1" applyFont="1">
      <alignment readingOrder="0"/>
    </xf>
    <xf borderId="0" fillId="17" fontId="19" numFmtId="0" xfId="0" applyAlignment="1" applyFill="1" applyFont="1">
      <alignment readingOrder="0"/>
    </xf>
    <xf borderId="0" fillId="18" fontId="19" numFmtId="3" xfId="0" applyAlignment="1" applyFill="1" applyFont="1" applyNumberFormat="1">
      <alignment readingOrder="0"/>
    </xf>
    <xf borderId="0" fillId="18" fontId="19" numFmtId="0" xfId="0" applyAlignment="1" applyFont="1">
      <alignment readingOrder="0"/>
    </xf>
    <xf borderId="0" fillId="19" fontId="19" numFmtId="0" xfId="0" applyAlignment="1" applyFill="1" applyFont="1">
      <alignment readingOrder="0"/>
    </xf>
    <xf borderId="0" fillId="19" fontId="19" numFmtId="0" xfId="0" applyFont="1"/>
    <xf borderId="0" fillId="7" fontId="19" numFmtId="0" xfId="0" applyAlignment="1" applyFont="1">
      <alignment readingOrder="0"/>
    </xf>
    <xf borderId="2" fillId="0" fontId="27" numFmtId="0" xfId="0" applyAlignment="1" applyBorder="1" applyFont="1">
      <alignment vertical="bottom"/>
    </xf>
    <xf borderId="0" fillId="0" fontId="27" numFmtId="0" xfId="0" applyAlignment="1" applyFont="1">
      <alignment horizontal="right" vertical="bottom"/>
    </xf>
    <xf borderId="0" fillId="0" fontId="27" numFmtId="0" xfId="0" applyAlignment="1" applyFont="1">
      <alignment vertical="bottom"/>
    </xf>
    <xf borderId="0" fillId="15" fontId="27" numFmtId="4" xfId="0" applyAlignment="1" applyFont="1" applyNumberFormat="1">
      <alignment horizontal="right" readingOrder="0" vertical="bottom"/>
    </xf>
    <xf borderId="0" fillId="0" fontId="27" numFmtId="4" xfId="0" applyAlignment="1" applyFont="1" applyNumberFormat="1">
      <alignment horizontal="right" vertical="bottom"/>
    </xf>
    <xf borderId="0" fillId="0" fontId="27" numFmtId="4" xfId="0" applyAlignment="1" applyFont="1" applyNumberFormat="1">
      <alignment vertical="bottom"/>
    </xf>
    <xf borderId="0" fillId="15" fontId="27" numFmtId="4" xfId="0" applyAlignment="1" applyFont="1" applyNumberFormat="1">
      <alignment horizontal="right" vertical="bottom"/>
    </xf>
    <xf borderId="0" fillId="0" fontId="27" numFmtId="0" xfId="0" applyAlignment="1" applyFont="1">
      <alignment readingOrder="0" vertical="bottom"/>
    </xf>
    <xf borderId="17" fillId="0" fontId="28" numFmtId="0" xfId="0" applyAlignment="1" applyBorder="1" applyFont="1">
      <alignment horizontal="center" vertical="top"/>
    </xf>
    <xf borderId="5" fillId="0" fontId="27" numFmtId="0" xfId="0" applyAlignment="1" applyBorder="1" applyFont="1">
      <alignment vertical="bottom"/>
    </xf>
    <xf borderId="6" fillId="0" fontId="27" numFmtId="0" xfId="0" applyAlignment="1" applyBorder="1" applyFont="1">
      <alignment vertical="bottom"/>
    </xf>
    <xf borderId="4" fillId="0" fontId="27" numFmtId="4" xfId="0" applyAlignment="1" applyBorder="1" applyFont="1" applyNumberFormat="1">
      <alignment horizontal="right" vertical="bottom"/>
    </xf>
    <xf borderId="3" fillId="0" fontId="27" numFmtId="4" xfId="0" applyAlignment="1" applyBorder="1" applyFont="1" applyNumberFormat="1">
      <alignment horizontal="right" vertical="bottom"/>
    </xf>
    <xf borderId="7" fillId="0" fontId="27" numFmtId="0" xfId="0" applyAlignment="1" applyBorder="1" applyFont="1">
      <alignment vertical="bottom"/>
    </xf>
    <xf borderId="1" fillId="0" fontId="27" numFmtId="0" xfId="0" applyAlignment="1" applyBorder="1" applyFont="1">
      <alignment vertical="bottom"/>
    </xf>
    <xf borderId="1" fillId="20" fontId="27" numFmtId="0" xfId="0" applyAlignment="1" applyBorder="1" applyFill="1" applyFont="1">
      <alignment vertical="bottom"/>
    </xf>
    <xf borderId="8" fillId="20" fontId="27" numFmtId="4" xfId="0" applyAlignment="1" applyBorder="1" applyFont="1" applyNumberFormat="1">
      <alignment horizontal="right" vertical="bottom"/>
    </xf>
    <xf borderId="18" fillId="0" fontId="27" numFmtId="0" xfId="0" applyAlignment="1" applyBorder="1" applyFont="1">
      <alignment vertical="bottom"/>
    </xf>
    <xf borderId="19" fillId="0" fontId="27" numFmtId="0" xfId="0" applyAlignment="1" applyBorder="1" applyFont="1">
      <alignment vertical="bottom"/>
    </xf>
    <xf borderId="20" fillId="0" fontId="27" numFmtId="0" xfId="0" applyAlignment="1" applyBorder="1" applyFont="1">
      <alignment vertical="bottom"/>
    </xf>
    <xf borderId="8" fillId="0" fontId="27" numFmtId="4" xfId="0" applyAlignment="1" applyBorder="1" applyFont="1" applyNumberFormat="1">
      <alignment horizontal="right" vertical="bottom"/>
    </xf>
    <xf borderId="4" fillId="21" fontId="27" numFmtId="4" xfId="0" applyAlignment="1" applyBorder="1" applyFill="1" applyFont="1" applyNumberFormat="1">
      <alignment horizontal="right" vertical="bottom"/>
    </xf>
    <xf borderId="0" fillId="9" fontId="19" numFmtId="4" xfId="0" applyFont="1" applyNumberFormat="1"/>
    <xf borderId="18" fillId="2" fontId="8" numFmtId="0" xfId="0" applyAlignment="1" applyBorder="1" applyFont="1">
      <alignment horizontal="center" readingOrder="0" vertical="center"/>
    </xf>
    <xf borderId="19" fillId="0" fontId="9" numFmtId="0" xfId="0" applyBorder="1" applyFont="1"/>
    <xf borderId="20" fillId="0" fontId="9" numFmtId="0" xfId="0" applyBorder="1" applyFont="1"/>
    <xf borderId="0" fillId="0" fontId="11" numFmtId="0" xfId="0" applyAlignment="1" applyFont="1">
      <alignment horizontal="center" readingOrder="0"/>
    </xf>
    <xf borderId="0" fillId="22" fontId="10" numFmtId="0" xfId="0" applyAlignment="1" applyFill="1" applyFont="1">
      <alignment horizontal="center" readingOrder="0" vertical="center"/>
    </xf>
    <xf borderId="0" fillId="23" fontId="10" numFmtId="0" xfId="0" applyAlignment="1" applyFill="1" applyFont="1">
      <alignment horizontal="center" readingOrder="0" vertical="center"/>
    </xf>
    <xf borderId="0" fillId="0" fontId="10" numFmtId="168" xfId="0" applyAlignment="1" applyFont="1" applyNumberFormat="1">
      <alignment horizontal="center" readingOrder="0" vertical="center"/>
    </xf>
    <xf borderId="6" fillId="0" fontId="19" numFmtId="0" xfId="0" applyBorder="1" applyFont="1"/>
    <xf borderId="6" fillId="0" fontId="19" numFmtId="0" xfId="0" applyAlignment="1" applyBorder="1" applyFont="1">
      <alignment horizontal="center" vertical="center"/>
    </xf>
    <xf borderId="21" fillId="24" fontId="29" numFmtId="0" xfId="0" applyAlignment="1" applyBorder="1" applyFill="1" applyFont="1">
      <alignment horizontal="center"/>
    </xf>
    <xf borderId="22" fillId="0" fontId="9" numFmtId="0" xfId="0" applyBorder="1" applyFont="1"/>
    <xf borderId="23" fillId="0" fontId="9" numFmtId="0" xfId="0" applyBorder="1" applyFont="1"/>
    <xf borderId="24" fillId="24" fontId="29" numFmtId="3" xfId="0" applyAlignment="1" applyBorder="1" applyFont="1" applyNumberFormat="1">
      <alignment horizontal="center" readingOrder="0"/>
    </xf>
    <xf borderId="25" fillId="0" fontId="9" numFmtId="0" xfId="0" applyBorder="1" applyFont="1"/>
    <xf borderId="0" fillId="25" fontId="30" numFmtId="0" xfId="0" applyAlignment="1" applyFill="1" applyFont="1">
      <alignment horizontal="center" readingOrder="0" vertical="bottom"/>
    </xf>
    <xf borderId="26" fillId="9" fontId="29" numFmtId="0" xfId="0" applyAlignment="1" applyBorder="1" applyFont="1">
      <alignment horizontal="center"/>
    </xf>
    <xf borderId="27" fillId="24" fontId="29" numFmtId="3" xfId="0" applyAlignment="1" applyBorder="1" applyFont="1" applyNumberFormat="1">
      <alignment horizontal="center"/>
    </xf>
    <xf borderId="28" fillId="24" fontId="29" numFmtId="3" xfId="0" applyAlignment="1" applyBorder="1" applyFont="1" applyNumberFormat="1">
      <alignment horizontal="center"/>
    </xf>
    <xf borderId="29" fillId="24" fontId="29" numFmtId="3" xfId="0" applyAlignment="1" applyBorder="1" applyFont="1" applyNumberFormat="1">
      <alignment horizontal="center"/>
    </xf>
    <xf borderId="30" fillId="24" fontId="29" numFmtId="3" xfId="0" applyAlignment="1" applyBorder="1" applyFont="1" applyNumberFormat="1">
      <alignment horizontal="center"/>
    </xf>
    <xf borderId="31" fillId="9" fontId="29" numFmtId="0" xfId="0" applyAlignment="1" applyBorder="1" applyFont="1">
      <alignment horizontal="center" readingOrder="0"/>
    </xf>
    <xf borderId="32" fillId="9" fontId="29" numFmtId="0" xfId="0" applyAlignment="1" applyBorder="1" applyFont="1">
      <alignment horizontal="center" readingOrder="0"/>
    </xf>
    <xf borderId="20" fillId="3" fontId="31" numFmtId="0" xfId="0" applyAlignment="1" applyBorder="1" applyFont="1">
      <alignment horizontal="center"/>
    </xf>
    <xf borderId="17" fillId="3" fontId="31" numFmtId="0" xfId="0" applyAlignment="1" applyBorder="1" applyFont="1">
      <alignment horizontal="center"/>
    </xf>
    <xf borderId="17" fillId="26" fontId="16" numFmtId="0" xfId="0" applyBorder="1" applyFill="1" applyFont="1"/>
    <xf borderId="33" fillId="26" fontId="16" numFmtId="0" xfId="0" applyBorder="1" applyFont="1"/>
    <xf borderId="34" fillId="3" fontId="31" numFmtId="0" xfId="0" applyAlignment="1" applyBorder="1" applyFont="1">
      <alignment horizontal="center"/>
    </xf>
    <xf borderId="34" fillId="11" fontId="10" numFmtId="3" xfId="0" applyAlignment="1" applyBorder="1" applyFont="1" applyNumberFormat="1">
      <alignment horizontal="center" readingOrder="0" vertical="bottom"/>
    </xf>
    <xf borderId="33" fillId="11" fontId="32" numFmtId="3" xfId="0" applyAlignment="1" applyBorder="1" applyFont="1" applyNumberFormat="1">
      <alignment horizontal="center" readingOrder="0" vertical="bottom"/>
    </xf>
    <xf borderId="35" fillId="17" fontId="29" numFmtId="0" xfId="0" applyAlignment="1" applyBorder="1" applyFont="1">
      <alignment horizontal="center" readingOrder="0"/>
    </xf>
    <xf borderId="36" fillId="0" fontId="29" numFmtId="0" xfId="0" applyAlignment="1" applyBorder="1" applyFont="1">
      <alignment horizontal="center" readingOrder="0"/>
    </xf>
    <xf borderId="37" fillId="0" fontId="9" numFmtId="0" xfId="0" applyBorder="1" applyFont="1"/>
    <xf borderId="38" fillId="0" fontId="29" numFmtId="0" xfId="0" applyAlignment="1" applyBorder="1" applyFont="1">
      <alignment horizontal="center" readingOrder="0"/>
    </xf>
    <xf borderId="39" fillId="0" fontId="9" numFmtId="0" xfId="0" applyBorder="1" applyFont="1"/>
    <xf borderId="40" fillId="0" fontId="19" numFmtId="0" xfId="0" applyAlignment="1" applyBorder="1" applyFont="1">
      <alignment readingOrder="0"/>
    </xf>
    <xf borderId="21" fillId="24" fontId="29" numFmtId="3" xfId="0" applyAlignment="1" applyBorder="1" applyFont="1" applyNumberFormat="1">
      <alignment horizontal="center" readingOrder="0"/>
    </xf>
    <xf borderId="20" fillId="27" fontId="31" numFmtId="0" xfId="0" applyAlignment="1" applyBorder="1" applyFill="1" applyFont="1">
      <alignment horizontal="center"/>
    </xf>
    <xf borderId="17" fillId="27" fontId="31" numFmtId="0" xfId="0" applyAlignment="1" applyBorder="1" applyFont="1">
      <alignment horizontal="center"/>
    </xf>
    <xf borderId="34" fillId="27" fontId="31" numFmtId="0" xfId="0" applyAlignment="1" applyBorder="1" applyFont="1">
      <alignment horizontal="center"/>
    </xf>
    <xf borderId="34" fillId="28" fontId="10" numFmtId="3" xfId="0" applyAlignment="1" applyBorder="1" applyFill="1" applyFont="1" applyNumberFormat="1">
      <alignment horizontal="center" readingOrder="0" vertical="bottom"/>
    </xf>
    <xf borderId="33" fillId="28" fontId="32" numFmtId="3" xfId="0" applyAlignment="1" applyBorder="1" applyFont="1" applyNumberFormat="1">
      <alignment horizontal="center" readingOrder="0" vertical="bottom"/>
    </xf>
    <xf borderId="41" fillId="17" fontId="29" numFmtId="0" xfId="0" applyAlignment="1" applyBorder="1" applyFont="1">
      <alignment horizontal="center"/>
    </xf>
    <xf borderId="0" fillId="0" fontId="29" numFmtId="0" xfId="0" applyAlignment="1" applyFont="1">
      <alignment horizontal="center" readingOrder="0"/>
    </xf>
    <xf borderId="3" fillId="0" fontId="9" numFmtId="0" xfId="0" applyBorder="1" applyFont="1"/>
    <xf borderId="2" fillId="0" fontId="29" numFmtId="0" xfId="0" applyAlignment="1" applyBorder="1" applyFont="1">
      <alignment horizontal="center" readingOrder="0"/>
    </xf>
    <xf borderId="42" fillId="0" fontId="9" numFmtId="0" xfId="0" applyBorder="1" applyFont="1"/>
    <xf borderId="42" fillId="0" fontId="29" numFmtId="0" xfId="0" applyAlignment="1" applyBorder="1" applyFont="1">
      <alignment horizontal="center" readingOrder="0" vertical="bottom"/>
    </xf>
    <xf borderId="43" fillId="3" fontId="31" numFmtId="0" xfId="0" applyAlignment="1" applyBorder="1" applyFont="1">
      <alignment horizontal="center"/>
    </xf>
    <xf borderId="41" fillId="9" fontId="29" numFmtId="0" xfId="0" applyAlignment="1" applyBorder="1" applyFont="1">
      <alignment horizontal="center"/>
    </xf>
    <xf borderId="35" fillId="0" fontId="29" numFmtId="0" xfId="0" applyAlignment="1" applyBorder="1" applyFont="1">
      <alignment horizontal="center" readingOrder="0"/>
    </xf>
    <xf borderId="44" fillId="0" fontId="9" numFmtId="0" xfId="0" applyBorder="1" applyFont="1"/>
    <xf borderId="45" fillId="0" fontId="29" numFmtId="0" xfId="0" applyAlignment="1" applyBorder="1" applyFont="1">
      <alignment horizontal="center" readingOrder="0"/>
    </xf>
    <xf borderId="46" fillId="0" fontId="9" numFmtId="0" xfId="0" applyBorder="1" applyFont="1"/>
    <xf borderId="42" fillId="0" fontId="29" numFmtId="0" xfId="0" applyAlignment="1" applyBorder="1" applyFont="1">
      <alignment horizontal="center" readingOrder="0"/>
    </xf>
    <xf borderId="26" fillId="9" fontId="29" numFmtId="0" xfId="0" applyAlignment="1" applyBorder="1" applyFont="1">
      <alignment horizontal="center" readingOrder="0"/>
    </xf>
    <xf borderId="34" fillId="3" fontId="31" numFmtId="0" xfId="0" applyAlignment="1" applyBorder="1" applyFont="1">
      <alignment horizontal="center" readingOrder="0"/>
    </xf>
    <xf borderId="20" fillId="3" fontId="31" numFmtId="0" xfId="0" applyAlignment="1" applyBorder="1" applyFont="1">
      <alignment horizontal="center" vertical="bottom"/>
    </xf>
    <xf borderId="17" fillId="3" fontId="31" numFmtId="0" xfId="0" applyAlignment="1" applyBorder="1" applyFont="1">
      <alignment horizontal="center" vertical="bottom"/>
    </xf>
    <xf borderId="33" fillId="26" fontId="16" numFmtId="0" xfId="0" applyAlignment="1" applyBorder="1" applyFont="1">
      <alignment vertical="bottom"/>
    </xf>
    <xf borderId="34" fillId="3" fontId="31" numFmtId="0" xfId="0" applyAlignment="1" applyBorder="1" applyFont="1">
      <alignment horizontal="center" vertical="bottom"/>
    </xf>
    <xf borderId="47" fillId="11" fontId="10" numFmtId="3" xfId="0" applyAlignment="1" applyBorder="1" applyFont="1" applyNumberFormat="1">
      <alignment horizontal="center" readingOrder="0" vertical="bottom"/>
    </xf>
    <xf borderId="48" fillId="11" fontId="32" numFmtId="3" xfId="0" applyAlignment="1" applyBorder="1" applyFont="1" applyNumberFormat="1">
      <alignment horizontal="center" readingOrder="0" vertical="bottom"/>
    </xf>
    <xf borderId="49" fillId="9" fontId="29" numFmtId="0" xfId="0" applyAlignment="1" applyBorder="1" applyFont="1">
      <alignment horizontal="center" readingOrder="0" shrinkToFit="0" vertical="center" wrapText="1"/>
    </xf>
    <xf borderId="50" fillId="7" fontId="15" numFmtId="0" xfId="0" applyAlignment="1" applyBorder="1" applyFont="1">
      <alignment horizontal="center" vertical="bottom"/>
    </xf>
    <xf borderId="40" fillId="7" fontId="15" numFmtId="0" xfId="0" applyAlignment="1" applyBorder="1" applyFont="1">
      <alignment horizontal="center" readingOrder="0"/>
    </xf>
    <xf borderId="42" fillId="0" fontId="29" numFmtId="0" xfId="0" applyAlignment="1" applyBorder="1" applyFont="1">
      <alignment horizontal="center"/>
    </xf>
    <xf borderId="51" fillId="3" fontId="31" numFmtId="0" xfId="0" applyAlignment="1" applyBorder="1" applyFont="1">
      <alignment horizontal="center" readingOrder="0"/>
    </xf>
    <xf borderId="26" fillId="0" fontId="9" numFmtId="0" xfId="0" applyBorder="1" applyFont="1"/>
    <xf borderId="32" fillId="7" fontId="15" numFmtId="0" xfId="0" applyAlignment="1" applyBorder="1" applyFont="1">
      <alignment horizontal="center" vertical="bottom"/>
    </xf>
    <xf borderId="42" fillId="7" fontId="15" numFmtId="0" xfId="0" applyAlignment="1" applyBorder="1" applyFont="1">
      <alignment horizontal="center" readingOrder="0"/>
    </xf>
    <xf borderId="42" fillId="3" fontId="31" numFmtId="0" xfId="0" applyAlignment="1" applyBorder="1" applyFont="1">
      <alignment horizontal="center" readingOrder="0"/>
    </xf>
    <xf borderId="43" fillId="27" fontId="31" numFmtId="0" xfId="0" applyAlignment="1" applyBorder="1" applyFont="1">
      <alignment horizontal="center"/>
    </xf>
    <xf borderId="32" fillId="7" fontId="15" numFmtId="0" xfId="0" applyAlignment="1" applyBorder="1" applyFont="1">
      <alignment horizontal="center" readingOrder="0" vertical="bottom"/>
    </xf>
    <xf borderId="52" fillId="9" fontId="29" numFmtId="0" xfId="0" applyAlignment="1" applyBorder="1" applyFont="1">
      <alignment horizontal="center" readingOrder="0"/>
    </xf>
    <xf borderId="53" fillId="3" fontId="31" numFmtId="0" xfId="0" applyAlignment="1" applyBorder="1" applyFont="1">
      <alignment horizontal="center" readingOrder="0"/>
    </xf>
    <xf borderId="18" fillId="28" fontId="32" numFmtId="3" xfId="0" applyAlignment="1" applyBorder="1" applyFont="1" applyNumberFormat="1">
      <alignment horizontal="center" vertical="bottom"/>
    </xf>
    <xf borderId="0" fillId="7" fontId="15" numFmtId="0" xfId="0" applyAlignment="1" applyFont="1">
      <alignment horizontal="center" readingOrder="0" vertical="bottom"/>
    </xf>
    <xf borderId="20" fillId="3" fontId="31" numFmtId="0" xfId="0" applyAlignment="1" applyBorder="1" applyFont="1">
      <alignment horizontal="center" readingOrder="0" vertical="bottom"/>
    </xf>
    <xf borderId="43" fillId="3" fontId="31" numFmtId="0" xfId="0" applyAlignment="1" applyBorder="1" applyFont="1">
      <alignment horizontal="center" readingOrder="0"/>
    </xf>
    <xf borderId="7" fillId="11" fontId="32" numFmtId="3" xfId="0" applyAlignment="1" applyBorder="1" applyFont="1" applyNumberFormat="1">
      <alignment horizontal="center" readingOrder="0" vertical="bottom"/>
    </xf>
    <xf borderId="42" fillId="0" fontId="19" numFmtId="0" xfId="0" applyBorder="1" applyFont="1"/>
    <xf borderId="20" fillId="3" fontId="31" numFmtId="0" xfId="0" applyAlignment="1" applyBorder="1" applyFont="1">
      <alignment horizontal="center" readingOrder="0"/>
    </xf>
    <xf borderId="33" fillId="11" fontId="32" numFmtId="3" xfId="0" applyAlignment="1" applyBorder="1" applyFont="1" applyNumberFormat="1">
      <alignment horizontal="center" vertical="bottom"/>
    </xf>
    <xf borderId="54" fillId="0" fontId="9" numFmtId="0" xfId="0" applyBorder="1" applyFont="1"/>
    <xf borderId="42" fillId="29" fontId="15" numFmtId="0" xfId="0" applyAlignment="1" applyBorder="1" applyFill="1" applyFont="1">
      <alignment horizontal="center" readingOrder="0" vertical="bottom"/>
    </xf>
    <xf borderId="55" fillId="3" fontId="31" numFmtId="0" xfId="0" applyAlignment="1" applyBorder="1" applyFont="1">
      <alignment horizontal="center" readingOrder="0"/>
    </xf>
    <xf borderId="17" fillId="3" fontId="31" numFmtId="0" xfId="0" applyAlignment="1" applyBorder="1" applyFont="1">
      <alignment horizontal="center" readingOrder="0"/>
    </xf>
    <xf borderId="19" fillId="3" fontId="31" numFmtId="0" xfId="0" applyAlignment="1" applyBorder="1" applyFont="1">
      <alignment horizontal="center" readingOrder="0"/>
    </xf>
    <xf borderId="34" fillId="11" fontId="32" numFmtId="3" xfId="0" applyAlignment="1" applyBorder="1" applyFont="1" applyNumberFormat="1">
      <alignment horizontal="center" vertical="bottom"/>
    </xf>
    <xf borderId="56" fillId="9" fontId="29" numFmtId="0" xfId="0" applyAlignment="1" applyBorder="1" applyFont="1">
      <alignment horizontal="center" readingOrder="0" shrinkToFit="0" vertical="center" wrapText="1"/>
    </xf>
    <xf borderId="32" fillId="29" fontId="15" numFmtId="0" xfId="0" applyAlignment="1" applyBorder="1" applyFont="1">
      <alignment horizontal="center" vertical="bottom"/>
    </xf>
    <xf borderId="34" fillId="0" fontId="9" numFmtId="0" xfId="0" applyBorder="1" applyFont="1"/>
    <xf borderId="32" fillId="0" fontId="15" numFmtId="3" xfId="0" applyAlignment="1" applyBorder="1" applyFont="1" applyNumberFormat="1">
      <alignment horizontal="center" vertical="bottom"/>
    </xf>
    <xf borderId="42" fillId="0" fontId="33" numFmtId="3" xfId="0" applyAlignment="1" applyBorder="1" applyFont="1" applyNumberFormat="1">
      <alignment horizontal="center"/>
    </xf>
    <xf borderId="19" fillId="26" fontId="16" numFmtId="0" xfId="0" applyAlignment="1" applyBorder="1" applyFont="1">
      <alignment vertical="bottom"/>
    </xf>
    <xf borderId="17" fillId="26" fontId="16" numFmtId="0" xfId="0" applyAlignment="1" applyBorder="1" applyFont="1">
      <alignment vertical="bottom"/>
    </xf>
    <xf borderId="18" fillId="11" fontId="32" numFmtId="3" xfId="0" applyAlignment="1" applyBorder="1" applyFont="1" applyNumberFormat="1">
      <alignment horizontal="center" vertical="bottom"/>
    </xf>
    <xf borderId="0" fillId="0" fontId="15" numFmtId="0" xfId="0" applyAlignment="1" applyFont="1">
      <alignment horizontal="center" vertical="bottom"/>
    </xf>
    <xf borderId="20" fillId="27" fontId="31" numFmtId="0" xfId="0" applyAlignment="1" applyBorder="1" applyFont="1">
      <alignment horizontal="center" readingOrder="0"/>
    </xf>
    <xf borderId="17" fillId="27" fontId="31" numFmtId="0" xfId="0" applyAlignment="1" applyBorder="1" applyFont="1">
      <alignment horizontal="center" readingOrder="0"/>
    </xf>
    <xf borderId="34" fillId="27" fontId="31" numFmtId="0" xfId="0" applyAlignment="1" applyBorder="1" applyFont="1">
      <alignment horizontal="center" readingOrder="0"/>
    </xf>
    <xf borderId="0" fillId="29" fontId="15" numFmtId="0" xfId="0" applyAlignment="1" applyFont="1">
      <alignment horizontal="center" readingOrder="0" vertical="bottom"/>
    </xf>
    <xf borderId="20" fillId="26" fontId="16" numFmtId="0" xfId="0" applyBorder="1" applyFont="1"/>
    <xf borderId="33" fillId="27" fontId="31" numFmtId="0" xfId="0" applyAlignment="1" applyBorder="1" applyFont="1">
      <alignment horizontal="center" readingOrder="0"/>
    </xf>
    <xf borderId="57" fillId="0" fontId="15" numFmtId="0" xfId="0" applyAlignment="1" applyBorder="1" applyFont="1">
      <alignment horizontal="center" vertical="bottom"/>
    </xf>
    <xf borderId="53" fillId="0" fontId="9" numFmtId="0" xfId="0" applyBorder="1" applyFont="1"/>
    <xf borderId="53" fillId="0" fontId="33" numFmtId="0" xfId="0" applyAlignment="1" applyBorder="1" applyFont="1">
      <alignment horizontal="center"/>
    </xf>
    <xf borderId="33" fillId="26" fontId="16" numFmtId="0" xfId="0" applyAlignment="1" applyBorder="1" applyFont="1">
      <alignment readingOrder="0" vertical="bottom"/>
    </xf>
    <xf borderId="18" fillId="11" fontId="32" numFmtId="3" xfId="0" applyAlignment="1" applyBorder="1" applyFont="1" applyNumberFormat="1">
      <alignment horizontal="center" readingOrder="0" vertical="bottom"/>
    </xf>
    <xf borderId="0" fillId="0" fontId="29" numFmtId="0" xfId="0" applyAlignment="1" applyFont="1">
      <alignment horizontal="center" vertical="bottom"/>
    </xf>
    <xf borderId="43" fillId="26" fontId="16" numFmtId="0" xfId="0" applyBorder="1" applyFont="1"/>
    <xf borderId="0" fillId="0" fontId="29" numFmtId="0" xfId="0" applyAlignment="1" applyFont="1">
      <alignment horizontal="center"/>
    </xf>
    <xf borderId="0" fillId="0" fontId="29" numFmtId="0" xfId="0" applyAlignment="1" applyFont="1">
      <alignment horizontal="center" readingOrder="0" vertical="bottom"/>
    </xf>
    <xf borderId="52" fillId="0" fontId="9" numFmtId="0" xfId="0" applyBorder="1" applyFont="1"/>
    <xf borderId="57" fillId="7" fontId="15" numFmtId="0" xfId="0" applyAlignment="1" applyBorder="1" applyFont="1">
      <alignment horizontal="center" readingOrder="0" vertical="bottom"/>
    </xf>
    <xf borderId="53" fillId="7" fontId="15" numFmtId="0" xfId="0" applyAlignment="1" applyBorder="1" applyFont="1">
      <alignment horizontal="center" readingOrder="0"/>
    </xf>
    <xf borderId="0" fillId="0" fontId="17" numFmtId="0" xfId="0" applyAlignment="1" applyFont="1">
      <alignment horizontal="center" vertical="bottom"/>
    </xf>
    <xf borderId="0" fillId="0" fontId="16" numFmtId="0" xfId="0" applyFont="1"/>
    <xf borderId="0" fillId="0" fontId="16" numFmtId="0" xfId="0" applyAlignment="1" applyFont="1">
      <alignment vertical="bottom"/>
    </xf>
    <xf borderId="0" fillId="0" fontId="34" numFmtId="0" xfId="0" applyAlignment="1" applyFont="1">
      <alignment horizontal="center"/>
    </xf>
    <xf borderId="0" fillId="0" fontId="34" numFmtId="0" xfId="0" applyAlignment="1" applyFont="1">
      <alignment horizontal="center" readingOrder="0"/>
    </xf>
    <xf borderId="0" fillId="0" fontId="35" numFmtId="0" xfId="0" applyAlignment="1" applyFont="1">
      <alignment horizontal="left" readingOrder="0" vertical="center"/>
    </xf>
    <xf borderId="5" fillId="30" fontId="36" numFmtId="0" xfId="0" applyAlignment="1" applyBorder="1" applyFill="1" applyFont="1">
      <alignment readingOrder="0" vertical="center"/>
    </xf>
    <xf borderId="6" fillId="0" fontId="9" numFmtId="0" xfId="0" applyBorder="1" applyFont="1"/>
    <xf borderId="6" fillId="0" fontId="37" numFmtId="0" xfId="0" applyAlignment="1" applyBorder="1" applyFont="1">
      <alignment readingOrder="0" vertical="center"/>
    </xf>
    <xf borderId="4" fillId="0" fontId="9" numFmtId="0" xfId="0" applyBorder="1" applyFont="1"/>
    <xf borderId="2" fillId="0" fontId="19" numFmtId="0" xfId="0" applyBorder="1" applyFont="1"/>
    <xf borderId="3" fillId="0" fontId="19" numFmtId="0" xfId="0" applyBorder="1" applyFont="1"/>
    <xf borderId="2" fillId="0" fontId="11" numFmtId="0" xfId="0" applyAlignment="1" applyBorder="1" applyFont="1">
      <alignment readingOrder="0"/>
    </xf>
    <xf borderId="2" fillId="31" fontId="11" numFmtId="0" xfId="0" applyAlignment="1" applyBorder="1" applyFill="1" applyFont="1">
      <alignment horizontal="left" readingOrder="0" shrinkToFit="0" vertical="center" wrapText="1"/>
    </xf>
    <xf borderId="0" fillId="31" fontId="11" numFmtId="0" xfId="0" applyAlignment="1" applyFont="1">
      <alignment readingOrder="0"/>
    </xf>
    <xf borderId="7" fillId="0" fontId="11" numFmtId="0" xfId="0" applyAlignment="1" applyBorder="1" applyFont="1">
      <alignment readingOrder="0"/>
    </xf>
    <xf borderId="8" fillId="0" fontId="9" numFmtId="0" xfId="0" applyBorder="1" applyFont="1"/>
    <xf borderId="0" fillId="0" fontId="19" numFmtId="0" xfId="0" applyFont="1"/>
    <xf borderId="0" fillId="0" fontId="19" numFmtId="0" xfId="0" applyAlignment="1" applyFont="1">
      <alignment horizontal="center" readingOrder="0"/>
    </xf>
    <xf borderId="0" fillId="0" fontId="38" numFmtId="0" xfId="0" applyAlignment="1" applyFont="1">
      <alignment readingOrder="0"/>
    </xf>
    <xf borderId="0" fillId="0" fontId="39" numFmtId="0" xfId="0" applyAlignment="1" applyFont="1">
      <alignment readingOrder="0"/>
    </xf>
    <xf borderId="0" fillId="0" fontId="38" numFmtId="0" xfId="0" applyAlignment="1" applyFont="1">
      <alignment horizontal="center" readingOrder="0" vertical="center"/>
    </xf>
    <xf borderId="0" fillId="7" fontId="40" numFmtId="0" xfId="0" applyAlignment="1" applyFont="1">
      <alignment horizontal="left" readingOrder="0"/>
    </xf>
    <xf borderId="0" fillId="0" fontId="38" numFmtId="0" xfId="0" applyFont="1"/>
    <xf borderId="0" fillId="32" fontId="41" numFmtId="0" xfId="0" applyAlignment="1" applyFill="1" applyFont="1">
      <alignment horizontal="center" shrinkToFit="0" vertical="center" wrapText="1"/>
    </xf>
    <xf borderId="0" fillId="0" fontId="19" numFmtId="0" xfId="0" applyAlignment="1" applyFont="1">
      <alignment horizontal="center"/>
    </xf>
    <xf borderId="0" fillId="7" fontId="41" numFmtId="0" xfId="0" applyAlignment="1" applyFont="1">
      <alignment horizontal="center" readingOrder="0" shrinkToFit="0" vertical="center" wrapText="1"/>
    </xf>
    <xf borderId="0" fillId="7" fontId="41" numFmtId="0" xfId="0" applyAlignment="1" applyFont="1">
      <alignment horizontal="left" readingOrder="0" shrinkToFit="0" vertical="center" wrapText="1"/>
    </xf>
    <xf borderId="0" fillId="7" fontId="41" numFmtId="0" xfId="0" applyAlignment="1" applyFont="1">
      <alignment horizontal="left" shrinkToFit="0" vertical="center" wrapText="1"/>
    </xf>
    <xf borderId="0" fillId="33" fontId="42" numFmtId="0" xfId="0" applyAlignment="1" applyFill="1" applyFont="1">
      <alignment horizontal="center" shrinkToFit="0" vertical="center" wrapText="1"/>
    </xf>
    <xf borderId="0" fillId="33" fontId="43" numFmtId="0" xfId="0" applyAlignment="1" applyFont="1">
      <alignment horizontal="center" readingOrder="0" shrinkToFit="0" vertical="center" wrapText="1"/>
    </xf>
    <xf borderId="0" fillId="33" fontId="41" numFmtId="0" xfId="0" applyAlignment="1" applyFont="1">
      <alignment horizontal="center" shrinkToFit="0" vertical="center" wrapText="1"/>
    </xf>
    <xf borderId="0" fillId="33" fontId="41" numFmtId="0" xfId="0" applyAlignment="1" applyFont="1">
      <alignment horizontal="center" readingOrder="0" shrinkToFit="0" vertical="center" wrapText="1"/>
    </xf>
    <xf borderId="0" fillId="33" fontId="41" numFmtId="0" xfId="0" applyAlignment="1" applyFont="1">
      <alignment horizontal="left" readingOrder="0" shrinkToFit="0" vertical="center" wrapText="1"/>
    </xf>
    <xf borderId="0" fillId="34" fontId="44" numFmtId="0" xfId="0" applyAlignment="1" applyFill="1" applyFont="1">
      <alignment horizontal="center" readingOrder="0" shrinkToFit="0" vertical="center" wrapText="1"/>
    </xf>
    <xf borderId="0" fillId="34" fontId="43" numFmtId="0" xfId="0" applyAlignment="1" applyFont="1">
      <alignment horizontal="center" readingOrder="0" shrinkToFit="0" vertical="center" wrapText="1"/>
    </xf>
    <xf borderId="0" fillId="34" fontId="41" numFmtId="0" xfId="0" applyAlignment="1" applyFont="1">
      <alignment horizontal="center" shrinkToFit="0" vertical="center" wrapText="1"/>
    </xf>
    <xf borderId="0" fillId="34" fontId="41" numFmtId="0" xfId="0" applyAlignment="1" applyFont="1">
      <alignment horizontal="left" readingOrder="0" shrinkToFit="0" vertical="center" wrapText="1"/>
    </xf>
    <xf borderId="0" fillId="7" fontId="42" numFmtId="0" xfId="0" applyAlignment="1" applyFont="1">
      <alignment horizontal="center" shrinkToFit="0" vertical="center" wrapText="1"/>
    </xf>
    <xf borderId="0" fillId="7" fontId="43" numFmtId="0" xfId="0" applyAlignment="1" applyFont="1">
      <alignment horizontal="center" readingOrder="0" shrinkToFit="0" vertical="center" wrapText="1"/>
    </xf>
    <xf borderId="0" fillId="7" fontId="41" numFmtId="0" xfId="0" applyAlignment="1" applyFont="1">
      <alignment horizontal="center" shrinkToFit="0" vertical="center" wrapText="1"/>
    </xf>
    <xf borderId="0" fillId="7" fontId="44" numFmtId="0" xfId="0" applyAlignment="1" applyFont="1">
      <alignment horizontal="center" readingOrder="0" shrinkToFit="0" vertical="center" wrapText="1"/>
    </xf>
    <xf borderId="0" fillId="14" fontId="44" numFmtId="0" xfId="0" applyAlignment="1" applyFont="1">
      <alignment horizontal="center" readingOrder="0" shrinkToFit="0" vertical="center" wrapText="1"/>
    </xf>
    <xf borderId="0" fillId="14" fontId="43" numFmtId="0" xfId="0" applyAlignment="1" applyFont="1">
      <alignment horizontal="center" readingOrder="0" shrinkToFit="0" vertical="center" wrapText="1"/>
    </xf>
    <xf borderId="0" fillId="14" fontId="41" numFmtId="0" xfId="0" applyAlignment="1" applyFont="1">
      <alignment horizontal="center" shrinkToFit="0" vertical="center" wrapText="1"/>
    </xf>
    <xf borderId="0" fillId="14" fontId="41" numFmtId="0" xfId="0" applyAlignment="1" applyFont="1">
      <alignment horizontal="center" readingOrder="0" shrinkToFit="0" vertical="center" wrapText="1"/>
    </xf>
    <xf borderId="0" fillId="14" fontId="41" numFmtId="0" xfId="0" applyAlignment="1" applyFont="1">
      <alignment horizontal="left" shrinkToFit="0" vertical="center" wrapText="1"/>
    </xf>
    <xf borderId="0" fillId="14" fontId="43" numFmtId="0" xfId="0" applyAlignment="1" applyFont="1">
      <alignment horizontal="center" shrinkToFit="0" vertical="center" wrapText="1"/>
    </xf>
    <xf borderId="0" fillId="3" fontId="44"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3" fontId="41" numFmtId="0" xfId="0" applyAlignment="1" applyFont="1">
      <alignment horizontal="center" shrinkToFit="0" vertical="center" wrapText="1"/>
    </xf>
    <xf borderId="0" fillId="3" fontId="41" numFmtId="0" xfId="0" applyAlignment="1" applyFont="1">
      <alignment horizontal="center" readingOrder="0" shrinkToFit="0" vertical="center" wrapText="1"/>
    </xf>
    <xf borderId="0" fillId="3" fontId="41" numFmtId="0" xfId="0" applyAlignment="1" applyFont="1">
      <alignment horizontal="left" readingOrder="0" shrinkToFit="0" vertical="center" wrapText="1"/>
    </xf>
    <xf borderId="0" fillId="3" fontId="41" numFmtId="0" xfId="0" applyAlignment="1" applyFont="1">
      <alignment horizontal="left" shrinkToFit="0" vertical="center" wrapText="1"/>
    </xf>
    <xf borderId="0" fillId="3" fontId="42" numFmtId="0" xfId="0" applyAlignment="1" applyFont="1">
      <alignment horizontal="center" shrinkToFit="0" vertical="center" wrapText="1"/>
    </xf>
    <xf borderId="0" fillId="3" fontId="43" numFmtId="0" xfId="0" applyAlignment="1" applyFont="1">
      <alignment horizontal="center" shrinkToFit="0" vertical="center" wrapText="1"/>
    </xf>
    <xf borderId="0" fillId="7" fontId="43" numFmtId="0" xfId="0" applyAlignment="1" applyFont="1">
      <alignment horizontal="center" shrinkToFit="0" vertical="center" wrapText="1"/>
    </xf>
    <xf borderId="0" fillId="33" fontId="43" numFmtId="0" xfId="0" applyAlignment="1" applyFont="1">
      <alignment horizontal="center" shrinkToFit="0" vertical="center" wrapText="1"/>
    </xf>
    <xf borderId="0" fillId="34" fontId="41" numFmtId="0" xfId="0" applyAlignment="1" applyFont="1">
      <alignment horizontal="center" readingOrder="0" shrinkToFit="0" vertical="center" wrapText="1"/>
    </xf>
    <xf borderId="0" fillId="34" fontId="41" numFmtId="0" xfId="0" applyAlignment="1" applyFont="1">
      <alignment horizontal="left" shrinkToFit="0" vertical="center" wrapText="1"/>
    </xf>
    <xf borderId="0" fillId="14" fontId="42" numFmtId="0" xfId="0" applyAlignment="1" applyFont="1">
      <alignment horizontal="center" shrinkToFit="0" vertical="center" wrapText="1"/>
    </xf>
    <xf borderId="0" fillId="34" fontId="42" numFmtId="0" xfId="0" applyAlignment="1" applyFont="1">
      <alignment horizontal="center" readingOrder="0" shrinkToFit="0" vertical="center" wrapText="1"/>
    </xf>
    <xf borderId="0" fillId="7" fontId="45" numFmtId="0" xfId="0" applyAlignment="1" applyFont="1">
      <alignment horizontal="center" readingOrder="0"/>
    </xf>
    <xf borderId="0" fillId="14" fontId="41" numFmtId="0" xfId="0" applyAlignment="1" applyFont="1">
      <alignment horizontal="left" readingOrder="0" shrinkToFit="0" vertical="center" wrapText="1"/>
    </xf>
    <xf borderId="0" fillId="7" fontId="4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66675</xdr:colOff>
      <xdr:row>0</xdr:row>
      <xdr:rowOff>85725</xdr:rowOff>
    </xdr:from>
    <xdr:ext cx="1295400" cy="381000"/>
    <xdr:grpSp>
      <xdr:nvGrpSpPr>
        <xdr:cNvPr id="2" name="Shape 2" title="繪圖"/>
        <xdr:cNvGrpSpPr/>
      </xdr:nvGrpSpPr>
      <xdr:grpSpPr>
        <a:xfrm>
          <a:off x="314025" y="312150"/>
          <a:ext cx="1444200" cy="410400"/>
          <a:chOff x="314025" y="312150"/>
          <a:chExt cx="1444200" cy="410400"/>
        </a:xfrm>
      </xdr:grpSpPr>
      <xdr:grpSp>
        <xdr:nvGrpSpPr>
          <xdr:cNvPr id="3" name="Shape 3"/>
          <xdr:cNvGrpSpPr/>
        </xdr:nvGrpSpPr>
        <xdr:grpSpPr>
          <a:xfrm>
            <a:off x="314025" y="312150"/>
            <a:ext cx="1444200" cy="410400"/>
            <a:chOff x="314025" y="312150"/>
            <a:chExt cx="1444200" cy="410400"/>
          </a:xfrm>
        </xdr:grpSpPr>
        <xdr:sp>
          <xdr:nvSpPr>
            <xdr:cNvPr id="4" name="Shape 4"/>
            <xdr:cNvSpPr/>
          </xdr:nvSpPr>
          <xdr:spPr>
            <a:xfrm>
              <a:off x="314025" y="312150"/>
              <a:ext cx="1444200" cy="410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txBox="1"/>
          </xdr:nvSpPr>
          <xdr:spPr>
            <a:xfrm>
              <a:off x="402814" y="340796"/>
              <a:ext cx="1266600" cy="353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300">
                  <a:solidFill>
                    <a:srgbClr val="FF0000"/>
                  </a:solidFill>
                  <a:latin typeface="Microsoft JhengHei"/>
                  <a:ea typeface="Microsoft JhengHei"/>
                  <a:cs typeface="Microsoft JhengHei"/>
                  <a:sym typeface="Microsoft JhengHei"/>
                </a:rPr>
                <a:t>一鍵重製勾選</a:t>
              </a:r>
              <a:endParaRPr b="1" sz="1300">
                <a:solidFill>
                  <a:srgbClr val="FF0000"/>
                </a:solidFill>
                <a:latin typeface="Microsoft JhengHei"/>
                <a:ea typeface="Microsoft JhengHei"/>
                <a:cs typeface="Microsoft JhengHei"/>
                <a:sym typeface="Microsoft JhengHei"/>
              </a:endParaRPr>
            </a:p>
          </xdr:txBody>
        </xdr: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xdr:row>
      <xdr:rowOff>0</xdr:rowOff>
    </xdr:from>
    <xdr:ext cx="2000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0</xdr:rowOff>
    </xdr:from>
    <xdr:ext cx="352425"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youtube.com/watch?v=bgWsCcUgIgE" TargetMode="External"/><Relationship Id="rId10" Type="http://schemas.openxmlformats.org/officeDocument/2006/relationships/hyperlink" Target="https://www.youtube.com/watch?v=Gpk8i-4Vg4Y" TargetMode="External"/><Relationship Id="rId13" Type="http://schemas.openxmlformats.org/officeDocument/2006/relationships/hyperlink" Target="https://www.youtube.com/watch?v=PzfMegHg2tY" TargetMode="External"/><Relationship Id="rId12" Type="http://schemas.openxmlformats.org/officeDocument/2006/relationships/hyperlink" Target="https://www.youtube.com/watch?v=0TJrheSXuPc" TargetMode="External"/><Relationship Id="rId1" Type="http://schemas.openxmlformats.org/officeDocument/2006/relationships/hyperlink" Target="https://www.youtube.com/watch?v=-jsDlw0KaxQ" TargetMode="External"/><Relationship Id="rId2" Type="http://schemas.openxmlformats.org/officeDocument/2006/relationships/hyperlink" Target="https://www.youtube.com/watch?v=Pk4N2X_M09k" TargetMode="External"/><Relationship Id="rId3" Type="http://schemas.openxmlformats.org/officeDocument/2006/relationships/hyperlink" Target="https://www.youtube.com/watch?v=mrqKvu-rqIc" TargetMode="External"/><Relationship Id="rId4" Type="http://schemas.openxmlformats.org/officeDocument/2006/relationships/hyperlink" Target="https://www.youtube.com/watch?v=NCuVko5Hw6w" TargetMode="External"/><Relationship Id="rId9" Type="http://schemas.openxmlformats.org/officeDocument/2006/relationships/hyperlink" Target="https://www.youtube.com/watch?v=e87RsA9Y5lI" TargetMode="External"/><Relationship Id="rId15" Type="http://schemas.openxmlformats.org/officeDocument/2006/relationships/hyperlink" Target="https://www.youtube.com/watch?v=zSkMhtOI-hM&amp;list=RDzSkMhtOI-hM&amp;start_radio=1" TargetMode="External"/><Relationship Id="rId14" Type="http://schemas.openxmlformats.org/officeDocument/2006/relationships/hyperlink" Target="https://www.youtube.com/watch?v=BMCGpXT69vQ&amp;list=RDBMCGpXT69vQ&amp;start_radio=1" TargetMode="External"/><Relationship Id="rId16" Type="http://schemas.openxmlformats.org/officeDocument/2006/relationships/drawing" Target="../drawings/drawing2.xml"/><Relationship Id="rId5" Type="http://schemas.openxmlformats.org/officeDocument/2006/relationships/hyperlink" Target="https://www.youtube.com/watch?v=WLR5Rls8iWM" TargetMode="External"/><Relationship Id="rId6" Type="http://schemas.openxmlformats.org/officeDocument/2006/relationships/hyperlink" Target="https://www.youtube.com/watch?v=CSHgDV3VGsg&amp;list=RDCSHgDV3VGsg&amp;start_radio=1" TargetMode="External"/><Relationship Id="rId7" Type="http://schemas.openxmlformats.org/officeDocument/2006/relationships/hyperlink" Target="https://www.youtube.com/watch?v=FVqfyDb13Nk" TargetMode="External"/><Relationship Id="rId8" Type="http://schemas.openxmlformats.org/officeDocument/2006/relationships/hyperlink" Target="https://www.youtube.com/watch?v=aP8_S4eulW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www.youtube.com/watch?v=PzfMegHg2tY" TargetMode="External"/><Relationship Id="rId1" Type="http://schemas.openxmlformats.org/officeDocument/2006/relationships/hyperlink" Target="https://www.youtube.com/watch?v=3-AjwRWH788" TargetMode="External"/><Relationship Id="rId2" Type="http://schemas.openxmlformats.org/officeDocument/2006/relationships/hyperlink" Target="https://www.youtube.com/watch?v=3hLESh77fSg" TargetMode="External"/><Relationship Id="rId3" Type="http://schemas.openxmlformats.org/officeDocument/2006/relationships/hyperlink" Target="https://www.youtube.com/watch?v=qzpYF5-7j28" TargetMode="External"/><Relationship Id="rId4" Type="http://schemas.openxmlformats.org/officeDocument/2006/relationships/hyperlink" Target="https://www.youtube.com/watch?v=FVqfyDb13Nk" TargetMode="External"/><Relationship Id="rId9" Type="http://schemas.openxmlformats.org/officeDocument/2006/relationships/hyperlink" Target="https://www.youtube.com/watch?v=0TJrheSXuPc" TargetMode="External"/><Relationship Id="rId5" Type="http://schemas.openxmlformats.org/officeDocument/2006/relationships/hyperlink" Target="https://www.youtube.com/watch?v=aP8_S4eulWo" TargetMode="External"/><Relationship Id="rId6" Type="http://schemas.openxmlformats.org/officeDocument/2006/relationships/hyperlink" Target="https://www.youtube.com/watch?v=e87RsA9Y5lI" TargetMode="External"/><Relationship Id="rId7" Type="http://schemas.openxmlformats.org/officeDocument/2006/relationships/hyperlink" Target="https://www.youtube.com/watch?v=Gpk8i-4Vg4Y" TargetMode="External"/><Relationship Id="rId8" Type="http://schemas.openxmlformats.org/officeDocument/2006/relationships/hyperlink" Target="https://www.youtube.com/watch?v=bgWsCcUgIgE"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5" width="11.63"/>
    <col customWidth="1" min="6" max="6" width="14.75"/>
    <col customWidth="1" min="7" max="7" width="13.75"/>
    <col customWidth="1" min="8" max="8" width="17.63"/>
    <col customWidth="1" min="9" max="9" width="17.13"/>
    <col customWidth="1" min="10" max="10" width="16.25"/>
  </cols>
  <sheetData>
    <row r="1">
      <c r="A1" s="1" t="s">
        <v>0</v>
      </c>
    </row>
    <row r="4">
      <c r="A4" s="1"/>
      <c r="B4" s="2">
        <v>45999.0</v>
      </c>
      <c r="C4" s="2">
        <v>46000.0</v>
      </c>
      <c r="D4" s="2">
        <v>46001.0</v>
      </c>
      <c r="E4" s="2">
        <v>45995.0</v>
      </c>
      <c r="F4" s="2">
        <v>45996.0</v>
      </c>
      <c r="G4" s="2">
        <v>45997.0</v>
      </c>
      <c r="H4" s="2">
        <v>45998.0</v>
      </c>
    </row>
    <row r="5">
      <c r="A5" s="3" t="s">
        <v>1</v>
      </c>
      <c r="B5" s="4" t="s">
        <v>2</v>
      </c>
      <c r="C5" s="4" t="s">
        <v>3</v>
      </c>
      <c r="D5" s="4" t="s">
        <v>4</v>
      </c>
      <c r="E5" s="4" t="s">
        <v>5</v>
      </c>
      <c r="F5" s="4" t="s">
        <v>6</v>
      </c>
      <c r="G5" s="4" t="s">
        <v>7</v>
      </c>
      <c r="H5" s="4" t="s">
        <v>8</v>
      </c>
      <c r="I5" s="5" t="s">
        <v>9</v>
      </c>
    </row>
    <row r="6">
      <c r="A6" s="6" t="s">
        <v>10</v>
      </c>
      <c r="B6" s="7" t="s">
        <v>11</v>
      </c>
      <c r="C6" s="7" t="s">
        <v>11</v>
      </c>
      <c r="D6" s="7" t="s">
        <v>11</v>
      </c>
      <c r="E6" s="7" t="s">
        <v>11</v>
      </c>
      <c r="F6" s="7" t="s">
        <v>11</v>
      </c>
      <c r="G6" s="7" t="s">
        <v>11</v>
      </c>
      <c r="H6" s="7" t="s">
        <v>11</v>
      </c>
    </row>
    <row r="7">
      <c r="A7" s="6" t="s">
        <v>12</v>
      </c>
      <c r="B7" s="7" t="s">
        <v>13</v>
      </c>
      <c r="C7" s="7" t="s">
        <v>13</v>
      </c>
      <c r="D7" s="7" t="s">
        <v>13</v>
      </c>
      <c r="E7" s="7" t="s">
        <v>13</v>
      </c>
      <c r="F7" s="7" t="s">
        <v>13</v>
      </c>
      <c r="G7" s="7" t="s">
        <v>13</v>
      </c>
      <c r="H7" s="7" t="s">
        <v>13</v>
      </c>
    </row>
    <row r="8">
      <c r="A8" s="6"/>
      <c r="B8" s="7"/>
      <c r="C8" s="7"/>
      <c r="D8" s="7"/>
      <c r="E8" s="7"/>
      <c r="F8" s="7"/>
      <c r="G8" s="7"/>
      <c r="H8" s="7"/>
    </row>
    <row r="9">
      <c r="A9" s="6" t="s">
        <v>14</v>
      </c>
      <c r="B9" s="7" t="s">
        <v>15</v>
      </c>
      <c r="C9" s="7" t="s">
        <v>15</v>
      </c>
      <c r="D9" s="7" t="s">
        <v>15</v>
      </c>
      <c r="E9" s="7" t="s">
        <v>15</v>
      </c>
      <c r="F9" s="7" t="s">
        <v>16</v>
      </c>
      <c r="G9" s="7" t="s">
        <v>16</v>
      </c>
      <c r="H9" s="7" t="s">
        <v>15</v>
      </c>
    </row>
    <row r="10">
      <c r="A10" s="6"/>
      <c r="B10" s="7"/>
      <c r="C10" s="7"/>
      <c r="D10" s="7"/>
      <c r="E10" s="7"/>
      <c r="F10" s="7"/>
      <c r="G10" s="7"/>
      <c r="H10" s="7"/>
    </row>
    <row r="11">
      <c r="A11" s="6" t="s">
        <v>17</v>
      </c>
      <c r="B11" s="7" t="s">
        <v>18</v>
      </c>
      <c r="C11" s="7" t="s">
        <v>18</v>
      </c>
      <c r="D11" s="7" t="s">
        <v>18</v>
      </c>
      <c r="E11" s="7" t="s">
        <v>18</v>
      </c>
      <c r="F11" s="7" t="s">
        <v>18</v>
      </c>
      <c r="G11" s="8">
        <v>45994.0</v>
      </c>
      <c r="H11" s="8">
        <v>45994.0</v>
      </c>
    </row>
    <row r="12">
      <c r="A12" s="6"/>
      <c r="B12" s="7"/>
      <c r="C12" s="7"/>
      <c r="D12" s="7"/>
      <c r="E12" s="7"/>
      <c r="F12" s="7"/>
      <c r="G12" s="7"/>
      <c r="H12" s="7"/>
    </row>
    <row r="13">
      <c r="A13" s="6" t="s">
        <v>19</v>
      </c>
      <c r="B13" s="7" t="s">
        <v>20</v>
      </c>
      <c r="C13" s="7" t="s">
        <v>20</v>
      </c>
      <c r="D13" s="7" t="s">
        <v>11</v>
      </c>
      <c r="E13" s="7" t="s">
        <v>21</v>
      </c>
      <c r="F13" s="7" t="s">
        <v>22</v>
      </c>
      <c r="G13" s="7" t="s">
        <v>22</v>
      </c>
      <c r="H13" s="7" t="s">
        <v>21</v>
      </c>
    </row>
    <row r="14">
      <c r="A14" s="6" t="s">
        <v>23</v>
      </c>
      <c r="B14" s="7" t="s">
        <v>24</v>
      </c>
      <c r="C14" s="7" t="s">
        <v>24</v>
      </c>
      <c r="D14" s="7" t="s">
        <v>24</v>
      </c>
      <c r="E14" s="7" t="s">
        <v>24</v>
      </c>
      <c r="F14" s="7" t="s">
        <v>24</v>
      </c>
      <c r="G14" s="7" t="s">
        <v>24</v>
      </c>
      <c r="H14" s="7" t="s">
        <v>24</v>
      </c>
    </row>
    <row r="15">
      <c r="A15" s="6" t="s">
        <v>25</v>
      </c>
      <c r="B15" s="9" t="s">
        <v>15</v>
      </c>
      <c r="C15" s="9" t="s">
        <v>15</v>
      </c>
      <c r="D15" s="9" t="s">
        <v>15</v>
      </c>
      <c r="E15" s="9" t="s">
        <v>15</v>
      </c>
      <c r="F15" s="9" t="s">
        <v>15</v>
      </c>
      <c r="G15" s="7" t="s">
        <v>16</v>
      </c>
      <c r="H15" s="7" t="s">
        <v>16</v>
      </c>
    </row>
    <row r="16">
      <c r="A16" s="6"/>
      <c r="B16" s="7"/>
      <c r="C16" s="7"/>
      <c r="D16" s="9"/>
      <c r="E16" s="7"/>
      <c r="F16" s="7"/>
      <c r="G16" s="7"/>
      <c r="H16" s="7"/>
    </row>
    <row r="17" ht="24.0" customHeight="1">
      <c r="A17" s="6" t="s">
        <v>26</v>
      </c>
      <c r="B17" s="7" t="s">
        <v>27</v>
      </c>
      <c r="C17" s="7" t="s">
        <v>27</v>
      </c>
      <c r="D17" s="9" t="s">
        <v>27</v>
      </c>
      <c r="E17" s="7" t="s">
        <v>27</v>
      </c>
      <c r="F17" s="7" t="s">
        <v>28</v>
      </c>
      <c r="G17" s="7" t="s">
        <v>27</v>
      </c>
      <c r="H17" s="7" t="s">
        <v>28</v>
      </c>
    </row>
    <row r="18">
      <c r="A18" s="6" t="s">
        <v>29</v>
      </c>
      <c r="B18" s="7" t="s">
        <v>30</v>
      </c>
      <c r="C18" s="7" t="s">
        <v>30</v>
      </c>
      <c r="D18" s="7" t="s">
        <v>30</v>
      </c>
      <c r="E18" s="7" t="s">
        <v>30</v>
      </c>
      <c r="F18" s="7" t="s">
        <v>11</v>
      </c>
      <c r="G18" s="7" t="s">
        <v>30</v>
      </c>
      <c r="H18" s="7" t="s">
        <v>30</v>
      </c>
      <c r="I18" s="10"/>
      <c r="J18" s="10"/>
    </row>
    <row r="19">
      <c r="A19" s="6" t="s">
        <v>31</v>
      </c>
      <c r="B19" s="7" t="s">
        <v>11</v>
      </c>
      <c r="C19" s="7" t="s">
        <v>11</v>
      </c>
      <c r="D19" s="7" t="s">
        <v>11</v>
      </c>
      <c r="E19" s="7" t="s">
        <v>11</v>
      </c>
      <c r="F19" s="7" t="s">
        <v>32</v>
      </c>
      <c r="G19" s="7" t="s">
        <v>33</v>
      </c>
      <c r="H19" s="7" t="s">
        <v>34</v>
      </c>
      <c r="I19" s="10"/>
      <c r="J19" s="10"/>
    </row>
    <row r="20">
      <c r="A20" s="6" t="s">
        <v>35</v>
      </c>
      <c r="B20" s="7" t="s">
        <v>11</v>
      </c>
      <c r="C20" s="7" t="s">
        <v>11</v>
      </c>
      <c r="D20" s="7" t="s">
        <v>36</v>
      </c>
      <c r="E20" s="7" t="s">
        <v>36</v>
      </c>
      <c r="F20" s="7" t="s">
        <v>11</v>
      </c>
      <c r="G20" s="7" t="s">
        <v>37</v>
      </c>
      <c r="H20" s="7" t="s">
        <v>38</v>
      </c>
      <c r="I20" s="10"/>
      <c r="J20" s="10"/>
    </row>
    <row r="21">
      <c r="A21" s="6" t="s">
        <v>39</v>
      </c>
      <c r="B21" s="7" t="s">
        <v>40</v>
      </c>
      <c r="C21" s="7" t="s">
        <v>40</v>
      </c>
      <c r="D21" s="7" t="s">
        <v>40</v>
      </c>
      <c r="E21" s="7" t="s">
        <v>40</v>
      </c>
      <c r="F21" s="7" t="s">
        <v>40</v>
      </c>
      <c r="G21" s="7" t="s">
        <v>40</v>
      </c>
      <c r="H21" s="7" t="s">
        <v>40</v>
      </c>
      <c r="I21" s="10"/>
      <c r="J21" s="10"/>
    </row>
    <row r="22">
      <c r="A22" s="6"/>
      <c r="B22" s="7"/>
      <c r="C22" s="7"/>
      <c r="D22" s="7"/>
      <c r="E22" s="7"/>
      <c r="F22" s="7"/>
      <c r="G22" s="7"/>
      <c r="H22" s="7"/>
      <c r="I22" s="10"/>
      <c r="J22" s="10"/>
    </row>
    <row r="23">
      <c r="A23" s="6" t="s">
        <v>41</v>
      </c>
      <c r="B23" s="7" t="s">
        <v>42</v>
      </c>
      <c r="C23" s="7" t="s">
        <v>42</v>
      </c>
      <c r="D23" s="7" t="s">
        <v>11</v>
      </c>
      <c r="E23" s="7" t="s">
        <v>11</v>
      </c>
      <c r="F23" s="7" t="s">
        <v>43</v>
      </c>
      <c r="G23" s="7" t="s">
        <v>44</v>
      </c>
      <c r="H23" s="7" t="s">
        <v>45</v>
      </c>
      <c r="I23" s="10"/>
      <c r="J23" s="10"/>
    </row>
    <row r="24">
      <c r="A24" s="6" t="s">
        <v>46</v>
      </c>
      <c r="B24" s="7" t="s">
        <v>11</v>
      </c>
      <c r="C24" s="7" t="s">
        <v>11</v>
      </c>
      <c r="D24" s="7" t="s">
        <v>11</v>
      </c>
      <c r="E24" s="7" t="s">
        <v>11</v>
      </c>
      <c r="F24" s="7" t="s">
        <v>43</v>
      </c>
      <c r="G24" s="7" t="s">
        <v>11</v>
      </c>
      <c r="H24" s="7" t="s">
        <v>11</v>
      </c>
      <c r="I24" s="10"/>
      <c r="J24" s="10"/>
    </row>
    <row r="25">
      <c r="A25" s="6"/>
      <c r="B25" s="7"/>
      <c r="C25" s="7"/>
      <c r="D25" s="7"/>
      <c r="E25" s="7"/>
      <c r="F25" s="7"/>
      <c r="G25" s="7"/>
      <c r="H25" s="7"/>
      <c r="I25" s="10"/>
      <c r="J25" s="10"/>
    </row>
    <row r="26">
      <c r="A26" s="6">
        <v>5688.0</v>
      </c>
      <c r="B26" s="7" t="s">
        <v>47</v>
      </c>
      <c r="C26" s="7" t="s">
        <v>47</v>
      </c>
      <c r="D26" s="11">
        <v>157115.0</v>
      </c>
      <c r="E26" s="7" t="s">
        <v>24</v>
      </c>
      <c r="F26" s="7" t="s">
        <v>47</v>
      </c>
      <c r="G26" s="7" t="s">
        <v>24</v>
      </c>
      <c r="H26" s="7" t="s">
        <v>21</v>
      </c>
      <c r="I26" s="10"/>
      <c r="J26" s="10"/>
    </row>
    <row r="27">
      <c r="A27" s="6" t="s">
        <v>48</v>
      </c>
      <c r="B27" s="12"/>
      <c r="C27" s="12"/>
      <c r="D27" s="13"/>
      <c r="E27" s="13"/>
      <c r="F27" s="13"/>
      <c r="G27" s="13"/>
      <c r="H27" s="13"/>
      <c r="I27" s="10"/>
      <c r="J27" s="10"/>
    </row>
    <row r="28">
      <c r="A28" s="14"/>
      <c r="B28" s="15"/>
      <c r="C28" s="15"/>
      <c r="D28" s="15"/>
      <c r="E28" s="15"/>
      <c r="F28" s="15"/>
      <c r="G28" s="15"/>
      <c r="H28" s="15"/>
      <c r="I28" s="10"/>
      <c r="J28" s="10"/>
    </row>
    <row r="29">
      <c r="A29" s="6" t="s">
        <v>49</v>
      </c>
      <c r="B29" s="7" t="s">
        <v>21</v>
      </c>
      <c r="C29" s="7" t="s">
        <v>21</v>
      </c>
      <c r="D29" s="7" t="s">
        <v>21</v>
      </c>
      <c r="E29" s="7" t="s">
        <v>21</v>
      </c>
      <c r="F29" s="7" t="s">
        <v>21</v>
      </c>
      <c r="G29" s="7" t="s">
        <v>21</v>
      </c>
      <c r="H29" s="7" t="s">
        <v>21</v>
      </c>
      <c r="I29" s="10"/>
      <c r="J29" s="10"/>
    </row>
    <row r="30">
      <c r="A30" s="14"/>
      <c r="B30" s="15"/>
      <c r="C30" s="15"/>
      <c r="D30" s="15"/>
      <c r="E30" s="15"/>
      <c r="F30" s="15"/>
      <c r="G30" s="15"/>
      <c r="H30" s="15"/>
      <c r="I30" s="10"/>
      <c r="J30" s="10"/>
    </row>
    <row r="31">
      <c r="A31" s="14"/>
      <c r="B31" s="15"/>
      <c r="C31" s="15"/>
      <c r="D31" s="15"/>
      <c r="E31" s="15"/>
      <c r="F31" s="15"/>
      <c r="G31" s="15"/>
      <c r="H31" s="15"/>
      <c r="I31" s="10"/>
      <c r="J31" s="10"/>
    </row>
    <row r="32">
      <c r="A32" s="14"/>
      <c r="B32" s="15"/>
      <c r="C32" s="15"/>
      <c r="D32" s="15"/>
      <c r="E32" s="15"/>
      <c r="F32" s="15"/>
      <c r="G32" s="15"/>
      <c r="H32" s="15"/>
      <c r="I32" s="10"/>
      <c r="J32" s="10"/>
    </row>
    <row r="33">
      <c r="A33" s="14"/>
      <c r="B33" s="15"/>
      <c r="C33" s="15"/>
      <c r="D33" s="15"/>
      <c r="E33" s="15"/>
      <c r="F33" s="15"/>
      <c r="G33" s="15"/>
      <c r="H33" s="15"/>
      <c r="I33" s="10"/>
      <c r="J33" s="10"/>
    </row>
    <row r="34">
      <c r="A34" s="14"/>
      <c r="B34" s="15"/>
      <c r="C34" s="15"/>
      <c r="D34" s="15"/>
      <c r="E34" s="15"/>
      <c r="F34" s="15"/>
      <c r="G34" s="15"/>
      <c r="H34" s="15"/>
      <c r="I34" s="10"/>
      <c r="J34" s="10"/>
    </row>
    <row r="35">
      <c r="A35" s="14"/>
      <c r="B35" s="15"/>
      <c r="C35" s="15"/>
      <c r="D35" s="15"/>
      <c r="E35" s="15"/>
      <c r="F35" s="15"/>
      <c r="G35" s="15"/>
      <c r="H35" s="15"/>
    </row>
    <row r="36">
      <c r="A36" s="14"/>
      <c r="B36" s="15"/>
      <c r="C36" s="15"/>
      <c r="D36" s="15"/>
      <c r="E36" s="15"/>
      <c r="F36" s="15"/>
      <c r="G36" s="15"/>
      <c r="H36" s="15"/>
    </row>
    <row r="37">
      <c r="A37" s="14"/>
      <c r="B37" s="15"/>
      <c r="C37" s="15"/>
      <c r="D37" s="15"/>
      <c r="E37" s="15"/>
      <c r="F37" s="15"/>
      <c r="G37" s="15"/>
      <c r="H37" s="15"/>
    </row>
    <row r="38">
      <c r="A38" s="14"/>
      <c r="B38" s="15"/>
      <c r="C38" s="15"/>
      <c r="D38" s="15"/>
      <c r="E38" s="15"/>
      <c r="F38" s="15"/>
      <c r="G38" s="15"/>
      <c r="H38" s="15"/>
    </row>
    <row r="39">
      <c r="A39" s="14"/>
      <c r="B39" s="15"/>
      <c r="C39" s="15"/>
      <c r="D39" s="15"/>
      <c r="E39" s="15"/>
      <c r="F39" s="15"/>
      <c r="G39" s="15"/>
      <c r="H39" s="15"/>
    </row>
    <row r="40">
      <c r="A40" s="14"/>
      <c r="B40" s="15"/>
      <c r="C40" s="15"/>
      <c r="D40" s="15"/>
      <c r="E40" s="15"/>
      <c r="F40" s="15"/>
      <c r="G40" s="15"/>
      <c r="H40" s="15"/>
    </row>
    <row r="41">
      <c r="A41" s="14"/>
      <c r="B41" s="15"/>
      <c r="C41" s="15"/>
      <c r="D41" s="15"/>
      <c r="E41" s="15"/>
      <c r="F41" s="15"/>
      <c r="G41" s="15"/>
      <c r="H41" s="15"/>
    </row>
    <row r="42">
      <c r="A42" s="14"/>
      <c r="B42" s="15"/>
      <c r="C42" s="15"/>
      <c r="D42" s="15"/>
      <c r="E42" s="15"/>
      <c r="F42" s="15"/>
      <c r="G42" s="15"/>
      <c r="H42" s="15"/>
    </row>
    <row r="43">
      <c r="A43" s="14"/>
      <c r="B43" s="15"/>
      <c r="C43" s="15"/>
      <c r="D43" s="15"/>
      <c r="E43" s="15"/>
      <c r="F43" s="15"/>
      <c r="G43" s="15"/>
      <c r="H43" s="15"/>
    </row>
    <row r="44">
      <c r="A44" s="14"/>
      <c r="B44" s="15"/>
      <c r="C44" s="15"/>
      <c r="D44" s="15"/>
      <c r="E44" s="15"/>
      <c r="F44" s="15"/>
      <c r="G44" s="15"/>
      <c r="H44" s="15"/>
    </row>
    <row r="45">
      <c r="A45" s="14"/>
      <c r="B45" s="15"/>
      <c r="C45" s="15"/>
      <c r="D45" s="15"/>
      <c r="E45" s="15"/>
      <c r="F45" s="15"/>
      <c r="G45" s="15"/>
      <c r="H45" s="15"/>
    </row>
    <row r="46">
      <c r="A46" s="14"/>
      <c r="B46" s="15"/>
      <c r="C46" s="15"/>
      <c r="D46" s="15"/>
      <c r="E46" s="15"/>
      <c r="F46" s="15"/>
      <c r="G46" s="15"/>
      <c r="H46" s="15"/>
    </row>
    <row r="47">
      <c r="A47" s="14"/>
      <c r="B47" s="15"/>
      <c r="C47" s="15"/>
      <c r="D47" s="15"/>
      <c r="E47" s="15"/>
      <c r="F47" s="15"/>
      <c r="G47" s="15"/>
      <c r="H47" s="15"/>
    </row>
    <row r="48">
      <c r="A48" s="14"/>
      <c r="B48" s="15"/>
      <c r="C48" s="15"/>
      <c r="D48" s="15"/>
      <c r="E48" s="15"/>
      <c r="F48" s="15"/>
      <c r="G48" s="15"/>
      <c r="H48" s="15"/>
    </row>
    <row r="49">
      <c r="A49" s="14"/>
      <c r="B49" s="15"/>
      <c r="C49" s="15"/>
      <c r="D49" s="15"/>
      <c r="E49" s="15"/>
      <c r="F49" s="15"/>
      <c r="G49" s="15"/>
      <c r="H49" s="15"/>
    </row>
    <row r="50">
      <c r="A50" s="14"/>
      <c r="B50" s="15"/>
      <c r="C50" s="15"/>
      <c r="D50" s="15"/>
      <c r="E50" s="15"/>
      <c r="F50" s="15"/>
      <c r="G50" s="15"/>
      <c r="H50" s="15"/>
    </row>
    <row r="51">
      <c r="A51" s="14"/>
      <c r="B51" s="15"/>
      <c r="C51" s="15"/>
      <c r="D51" s="15"/>
      <c r="E51" s="15"/>
      <c r="F51" s="15"/>
      <c r="G51" s="15"/>
      <c r="H51" s="15"/>
    </row>
    <row r="52">
      <c r="A52" s="14"/>
      <c r="B52" s="15"/>
      <c r="C52" s="15"/>
      <c r="D52" s="15"/>
      <c r="E52" s="15"/>
      <c r="F52" s="15"/>
      <c r="G52" s="15"/>
      <c r="H52" s="15"/>
    </row>
    <row r="53">
      <c r="A53" s="14"/>
      <c r="B53" s="15"/>
      <c r="C53" s="15"/>
      <c r="D53" s="15"/>
      <c r="E53" s="15"/>
      <c r="F53" s="15"/>
      <c r="G53" s="15"/>
      <c r="H53" s="15"/>
    </row>
    <row r="54">
      <c r="A54" s="14"/>
      <c r="B54" s="15"/>
      <c r="C54" s="15"/>
      <c r="D54" s="15"/>
      <c r="E54" s="15"/>
      <c r="F54" s="15"/>
      <c r="G54" s="15"/>
      <c r="H54" s="15"/>
    </row>
    <row r="55">
      <c r="A55" s="14"/>
      <c r="B55" s="15"/>
      <c r="C55" s="15"/>
      <c r="D55" s="15"/>
      <c r="E55" s="15"/>
      <c r="F55" s="15"/>
      <c r="G55" s="15"/>
      <c r="H55" s="15"/>
    </row>
    <row r="56">
      <c r="A56" s="14"/>
      <c r="B56" s="15"/>
      <c r="C56" s="15"/>
      <c r="D56" s="15"/>
      <c r="E56" s="15"/>
      <c r="F56" s="15"/>
      <c r="G56" s="15"/>
      <c r="H56" s="15"/>
    </row>
    <row r="57">
      <c r="A57" s="14"/>
      <c r="B57" s="15"/>
      <c r="C57" s="15"/>
      <c r="D57" s="15"/>
      <c r="E57" s="15"/>
      <c r="F57" s="15"/>
      <c r="G57" s="15"/>
      <c r="H57" s="15"/>
    </row>
    <row r="58">
      <c r="A58" s="14"/>
      <c r="B58" s="15"/>
      <c r="C58" s="15"/>
      <c r="D58" s="15"/>
      <c r="E58" s="15"/>
      <c r="F58" s="15"/>
      <c r="G58" s="15"/>
      <c r="H58" s="15"/>
    </row>
    <row r="59">
      <c r="A59" s="14"/>
      <c r="B59" s="15"/>
      <c r="C59" s="15"/>
      <c r="D59" s="15"/>
      <c r="E59" s="15"/>
      <c r="F59" s="15"/>
      <c r="G59" s="15"/>
      <c r="H59" s="15"/>
    </row>
    <row r="60">
      <c r="A60" s="14"/>
      <c r="B60" s="15"/>
      <c r="C60" s="15"/>
      <c r="D60" s="15"/>
      <c r="E60" s="15"/>
      <c r="F60" s="15"/>
      <c r="G60" s="15"/>
      <c r="H60" s="15"/>
    </row>
    <row r="61">
      <c r="A61" s="14"/>
      <c r="B61" s="15"/>
      <c r="C61" s="15"/>
      <c r="D61" s="15"/>
      <c r="E61" s="15"/>
      <c r="F61" s="15"/>
      <c r="G61" s="15"/>
      <c r="H61" s="15"/>
    </row>
    <row r="62">
      <c r="A62" s="14"/>
      <c r="B62" s="15"/>
      <c r="C62" s="15"/>
      <c r="D62" s="15"/>
      <c r="E62" s="15"/>
      <c r="F62" s="15"/>
      <c r="G62" s="15"/>
      <c r="H62" s="15"/>
    </row>
    <row r="63">
      <c r="A63" s="14"/>
      <c r="B63" s="15"/>
      <c r="C63" s="15"/>
      <c r="D63" s="15"/>
      <c r="E63" s="15"/>
      <c r="F63" s="15"/>
      <c r="G63" s="15"/>
      <c r="H63" s="15"/>
    </row>
    <row r="64">
      <c r="A64" s="14"/>
      <c r="B64" s="15"/>
      <c r="C64" s="15"/>
      <c r="D64" s="15"/>
      <c r="E64" s="15"/>
      <c r="F64" s="15"/>
      <c r="G64" s="15"/>
      <c r="H64" s="15"/>
    </row>
    <row r="65">
      <c r="A65" s="14"/>
      <c r="B65" s="15"/>
      <c r="C65" s="15"/>
      <c r="D65" s="15"/>
      <c r="E65" s="15"/>
      <c r="F65" s="15"/>
      <c r="G65" s="15"/>
      <c r="H65" s="15"/>
    </row>
    <row r="66">
      <c r="A66" s="14"/>
      <c r="B66" s="15"/>
      <c r="C66" s="15"/>
      <c r="D66" s="15"/>
      <c r="E66" s="15"/>
      <c r="F66" s="15"/>
      <c r="G66" s="15"/>
      <c r="H66" s="15"/>
    </row>
    <row r="67">
      <c r="A67" s="14"/>
      <c r="B67" s="15"/>
      <c r="C67" s="15"/>
      <c r="D67" s="15"/>
      <c r="E67" s="15"/>
      <c r="F67" s="15"/>
      <c r="G67" s="15"/>
      <c r="H67" s="15"/>
    </row>
    <row r="68">
      <c r="A68" s="14"/>
      <c r="B68" s="15"/>
      <c r="C68" s="15"/>
      <c r="D68" s="15"/>
      <c r="E68" s="15"/>
      <c r="F68" s="15"/>
      <c r="G68" s="15"/>
      <c r="H68" s="15"/>
    </row>
    <row r="69">
      <c r="A69" s="14"/>
      <c r="B69" s="15"/>
      <c r="C69" s="15"/>
      <c r="D69" s="15"/>
      <c r="E69" s="15"/>
      <c r="F69" s="15"/>
      <c r="G69" s="15"/>
      <c r="H69" s="15"/>
    </row>
    <row r="70">
      <c r="A70" s="14"/>
      <c r="B70" s="16"/>
      <c r="C70" s="16"/>
      <c r="D70" s="16"/>
      <c r="E70" s="16"/>
      <c r="F70" s="16"/>
      <c r="G70" s="16"/>
      <c r="H70" s="16"/>
    </row>
    <row r="71">
      <c r="A71" s="14"/>
    </row>
  </sheetData>
  <mergeCells count="2">
    <mergeCell ref="A1:D3"/>
    <mergeCell ref="I5:P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5.13"/>
    <col customWidth="1" min="4" max="4" width="19.5"/>
    <col customWidth="1" min="10" max="10" width="19.5"/>
    <col customWidth="1" min="11" max="11" width="25.13"/>
    <col customWidth="1" min="12" max="12" width="19.5"/>
    <col customWidth="1" min="18" max="18" width="19.5"/>
    <col customWidth="1" min="19" max="19" width="25.13"/>
    <col customWidth="1" min="20" max="20" width="19.5"/>
    <col customWidth="1" min="24" max="25" width="12.63"/>
  </cols>
  <sheetData>
    <row r="1" ht="58.5" customHeight="1">
      <c r="A1" s="17" t="s">
        <v>50</v>
      </c>
      <c r="B1" s="18"/>
      <c r="C1" s="19"/>
      <c r="D1" s="19"/>
      <c r="E1" s="19"/>
      <c r="F1" s="19"/>
      <c r="G1" s="19"/>
      <c r="H1" s="19"/>
      <c r="I1" s="19"/>
      <c r="J1" s="19"/>
      <c r="K1" s="19"/>
      <c r="L1" s="19"/>
      <c r="M1" s="19"/>
      <c r="N1" s="19"/>
      <c r="O1" s="19"/>
      <c r="P1" s="19"/>
      <c r="Q1" s="19"/>
      <c r="R1" s="19"/>
      <c r="S1" s="19"/>
      <c r="T1" s="19"/>
      <c r="U1" s="19"/>
      <c r="V1" s="19"/>
      <c r="W1" s="19"/>
      <c r="X1" s="19"/>
      <c r="Y1" s="19"/>
      <c r="Z1" s="20"/>
    </row>
    <row r="2" ht="22.5" customHeight="1">
      <c r="B2" s="21" t="s">
        <v>51</v>
      </c>
      <c r="C2" s="22" t="s">
        <v>52</v>
      </c>
      <c r="D2" s="22" t="s">
        <v>53</v>
      </c>
      <c r="E2" s="23" t="s">
        <v>54</v>
      </c>
      <c r="F2" s="24" t="s">
        <v>55</v>
      </c>
      <c r="G2" s="24" t="s">
        <v>56</v>
      </c>
      <c r="H2" s="24" t="s">
        <v>57</v>
      </c>
      <c r="I2" s="24" t="s">
        <v>58</v>
      </c>
      <c r="J2" s="21" t="s">
        <v>51</v>
      </c>
      <c r="K2" s="22" t="s">
        <v>52</v>
      </c>
      <c r="L2" s="22" t="s">
        <v>53</v>
      </c>
      <c r="M2" s="23" t="s">
        <v>54</v>
      </c>
      <c r="N2" s="24" t="s">
        <v>55</v>
      </c>
      <c r="O2" s="24" t="s">
        <v>56</v>
      </c>
      <c r="P2" s="24" t="s">
        <v>57</v>
      </c>
      <c r="Q2" s="25" t="s">
        <v>58</v>
      </c>
      <c r="R2" s="26" t="s">
        <v>51</v>
      </c>
      <c r="S2" s="22" t="s">
        <v>52</v>
      </c>
      <c r="T2" s="22" t="s">
        <v>53</v>
      </c>
      <c r="U2" s="23" t="s">
        <v>54</v>
      </c>
      <c r="V2" s="24" t="s">
        <v>55</v>
      </c>
      <c r="W2" s="24" t="s">
        <v>56</v>
      </c>
      <c r="X2" s="24" t="s">
        <v>57</v>
      </c>
      <c r="Y2" s="27" t="s">
        <v>58</v>
      </c>
      <c r="Z2" s="28"/>
    </row>
    <row r="3">
      <c r="B3" s="29" t="s">
        <v>10</v>
      </c>
      <c r="C3" s="30" t="s">
        <v>59</v>
      </c>
      <c r="D3" s="31" t="s">
        <v>60</v>
      </c>
      <c r="E3" s="32">
        <v>1630.0</v>
      </c>
      <c r="F3" s="31"/>
      <c r="G3" s="31" t="b">
        <v>0</v>
      </c>
      <c r="H3" s="31" t="b">
        <v>0</v>
      </c>
      <c r="I3" s="31" t="b">
        <v>0</v>
      </c>
      <c r="J3" s="29" t="s">
        <v>12</v>
      </c>
      <c r="K3" s="30">
        <v>456852.0</v>
      </c>
      <c r="L3" s="31" t="s">
        <v>61</v>
      </c>
      <c r="M3" s="32">
        <v>1630.0</v>
      </c>
      <c r="N3" s="31"/>
      <c r="O3" s="31" t="b">
        <v>1</v>
      </c>
      <c r="P3" s="31" t="b">
        <v>1</v>
      </c>
      <c r="Q3" s="31" t="b">
        <v>1</v>
      </c>
      <c r="R3" s="29" t="s">
        <v>62</v>
      </c>
      <c r="S3" s="30" t="s">
        <v>62</v>
      </c>
      <c r="T3" s="31" t="s">
        <v>63</v>
      </c>
      <c r="U3" s="32">
        <v>1620.0</v>
      </c>
      <c r="V3" s="31"/>
      <c r="W3" s="33"/>
      <c r="X3" s="33"/>
      <c r="Y3" s="34"/>
      <c r="Z3" s="28"/>
    </row>
    <row r="4">
      <c r="B4" s="28"/>
      <c r="C4" s="30" t="s">
        <v>64</v>
      </c>
      <c r="D4" s="31" t="s">
        <v>65</v>
      </c>
      <c r="E4" s="32">
        <v>1630.0</v>
      </c>
      <c r="F4" s="31"/>
      <c r="G4" s="31" t="b">
        <v>0</v>
      </c>
      <c r="H4" s="31" t="b">
        <v>0</v>
      </c>
      <c r="I4" s="31" t="b">
        <v>0</v>
      </c>
      <c r="J4" s="28"/>
      <c r="K4" s="30" t="s">
        <v>66</v>
      </c>
      <c r="L4" s="31" t="s">
        <v>67</v>
      </c>
      <c r="M4" s="32">
        <v>1630.0</v>
      </c>
      <c r="N4" s="31"/>
      <c r="O4" s="31" t="b">
        <v>1</v>
      </c>
      <c r="P4" s="31" t="b">
        <v>1</v>
      </c>
      <c r="Q4" s="31" t="b">
        <v>1</v>
      </c>
      <c r="R4" s="28"/>
      <c r="S4" s="30" t="s">
        <v>68</v>
      </c>
      <c r="T4" s="31" t="s">
        <v>69</v>
      </c>
      <c r="U4" s="32">
        <v>1610.0</v>
      </c>
      <c r="V4" s="31"/>
      <c r="W4" s="33"/>
      <c r="X4" s="33"/>
      <c r="Y4" s="34"/>
      <c r="Z4" s="28"/>
    </row>
    <row r="5">
      <c r="B5" s="28"/>
      <c r="C5" s="30" t="s">
        <v>70</v>
      </c>
      <c r="D5" s="31" t="s">
        <v>65</v>
      </c>
      <c r="E5" s="32">
        <v>1630.0</v>
      </c>
      <c r="F5" s="31"/>
      <c r="G5" s="31" t="b">
        <v>0</v>
      </c>
      <c r="H5" s="31" t="b">
        <v>0</v>
      </c>
      <c r="I5" s="31" t="b">
        <v>0</v>
      </c>
      <c r="J5" s="28"/>
      <c r="K5" s="30" t="s">
        <v>71</v>
      </c>
      <c r="L5" s="31" t="s">
        <v>67</v>
      </c>
      <c r="M5" s="32">
        <v>1610.0</v>
      </c>
      <c r="N5" s="31" t="b">
        <v>1</v>
      </c>
      <c r="O5" s="31" t="b">
        <v>1</v>
      </c>
      <c r="P5" s="31" t="b">
        <v>1</v>
      </c>
      <c r="Q5" s="35"/>
      <c r="R5" s="28"/>
      <c r="S5" s="30" t="s">
        <v>72</v>
      </c>
      <c r="T5" s="31" t="s">
        <v>73</v>
      </c>
      <c r="U5" s="32">
        <v>1600.0</v>
      </c>
      <c r="V5" s="31"/>
      <c r="W5" s="33"/>
      <c r="X5" s="33"/>
      <c r="Y5" s="34"/>
      <c r="Z5" s="28"/>
    </row>
    <row r="6">
      <c r="B6" s="28"/>
      <c r="C6" s="30" t="s">
        <v>74</v>
      </c>
      <c r="D6" s="31" t="s">
        <v>65</v>
      </c>
      <c r="E6" s="32">
        <v>1630.0</v>
      </c>
      <c r="F6" s="31"/>
      <c r="G6" s="31" t="b">
        <v>0</v>
      </c>
      <c r="H6" s="31" t="b">
        <v>0</v>
      </c>
      <c r="I6" s="31" t="b">
        <v>0</v>
      </c>
      <c r="J6" s="28"/>
      <c r="K6" s="30" t="s">
        <v>75</v>
      </c>
      <c r="L6" s="31" t="s">
        <v>69</v>
      </c>
      <c r="M6" s="32">
        <v>1630.0</v>
      </c>
      <c r="N6" s="31"/>
      <c r="O6" s="31" t="b">
        <v>1</v>
      </c>
      <c r="P6" s="31" t="b">
        <v>1</v>
      </c>
      <c r="Q6" s="31" t="b">
        <v>1</v>
      </c>
      <c r="R6" s="28"/>
      <c r="S6" s="30" t="s">
        <v>76</v>
      </c>
      <c r="T6" s="31" t="s">
        <v>77</v>
      </c>
      <c r="U6" s="32">
        <v>1600.0</v>
      </c>
      <c r="V6" s="31"/>
      <c r="W6" s="33"/>
      <c r="X6" s="33"/>
      <c r="Y6" s="34"/>
      <c r="Z6" s="28"/>
    </row>
    <row r="7">
      <c r="B7" s="28"/>
      <c r="C7" s="30" t="s">
        <v>78</v>
      </c>
      <c r="D7" s="31" t="s">
        <v>77</v>
      </c>
      <c r="E7" s="32">
        <v>1630.0</v>
      </c>
      <c r="F7" s="31"/>
      <c r="G7" s="31" t="b">
        <v>0</v>
      </c>
      <c r="H7" s="31" t="b">
        <v>0</v>
      </c>
      <c r="I7" s="31" t="b">
        <v>0</v>
      </c>
      <c r="J7" s="28"/>
      <c r="K7" s="36">
        <v>654.0</v>
      </c>
      <c r="L7" s="37" t="s">
        <v>61</v>
      </c>
      <c r="M7" s="38">
        <v>1610.0</v>
      </c>
      <c r="N7" s="31" t="b">
        <v>1</v>
      </c>
      <c r="O7" s="31" t="b">
        <v>1</v>
      </c>
      <c r="P7" s="31" t="b">
        <v>0</v>
      </c>
      <c r="Q7" s="35"/>
      <c r="R7" s="28"/>
      <c r="S7" s="30" t="s">
        <v>79</v>
      </c>
      <c r="T7" s="31" t="s">
        <v>80</v>
      </c>
      <c r="U7" s="32">
        <v>1540.0</v>
      </c>
      <c r="V7" s="31"/>
      <c r="W7" s="30"/>
      <c r="X7" s="31"/>
      <c r="Y7" s="35"/>
      <c r="Z7" s="28"/>
    </row>
    <row r="8">
      <c r="B8" s="28"/>
      <c r="C8" s="30" t="s">
        <v>81</v>
      </c>
      <c r="D8" s="31" t="s">
        <v>82</v>
      </c>
      <c r="E8" s="32">
        <v>1630.0</v>
      </c>
      <c r="F8" s="31"/>
      <c r="G8" s="39" t="b">
        <v>0</v>
      </c>
      <c r="H8" s="39" t="b">
        <v>0</v>
      </c>
      <c r="I8" s="39" t="b">
        <v>0</v>
      </c>
      <c r="J8" s="28"/>
      <c r="K8" s="30" t="s">
        <v>83</v>
      </c>
      <c r="L8" s="31" t="s">
        <v>84</v>
      </c>
      <c r="M8" s="32">
        <v>1630.0</v>
      </c>
      <c r="N8" s="40"/>
      <c r="O8" s="31" t="b">
        <v>0</v>
      </c>
      <c r="P8" s="31" t="b">
        <v>1</v>
      </c>
      <c r="Q8" s="31" t="b">
        <v>1</v>
      </c>
      <c r="R8" s="28"/>
      <c r="S8" s="30" t="s">
        <v>85</v>
      </c>
      <c r="T8" s="31" t="s">
        <v>86</v>
      </c>
      <c r="U8" s="32">
        <v>1540.0</v>
      </c>
      <c r="V8" s="31"/>
      <c r="W8" s="40"/>
      <c r="X8" s="40"/>
      <c r="Y8" s="41"/>
      <c r="Z8" s="28"/>
    </row>
    <row r="9">
      <c r="B9" s="42" t="s">
        <v>51</v>
      </c>
      <c r="C9" s="43" t="s">
        <v>52</v>
      </c>
      <c r="D9" s="43" t="s">
        <v>53</v>
      </c>
      <c r="E9" s="44" t="s">
        <v>54</v>
      </c>
      <c r="F9" s="45" t="s">
        <v>55</v>
      </c>
      <c r="G9" s="45" t="s">
        <v>56</v>
      </c>
      <c r="H9" s="45" t="s">
        <v>57</v>
      </c>
      <c r="I9" s="45" t="s">
        <v>58</v>
      </c>
      <c r="J9" s="42" t="s">
        <v>51</v>
      </c>
      <c r="K9" s="43" t="s">
        <v>52</v>
      </c>
      <c r="L9" s="43" t="s">
        <v>53</v>
      </c>
      <c r="M9" s="44" t="s">
        <v>54</v>
      </c>
      <c r="N9" s="45" t="s">
        <v>55</v>
      </c>
      <c r="O9" s="45" t="s">
        <v>56</v>
      </c>
      <c r="P9" s="45" t="s">
        <v>57</v>
      </c>
      <c r="Q9" s="25" t="s">
        <v>58</v>
      </c>
      <c r="R9" s="46" t="s">
        <v>51</v>
      </c>
      <c r="S9" s="43" t="s">
        <v>52</v>
      </c>
      <c r="T9" s="43" t="s">
        <v>53</v>
      </c>
      <c r="U9" s="44" t="s">
        <v>54</v>
      </c>
      <c r="V9" s="45" t="s">
        <v>55</v>
      </c>
      <c r="W9" s="45" t="s">
        <v>56</v>
      </c>
      <c r="X9" s="45" t="s">
        <v>57</v>
      </c>
      <c r="Y9" s="27" t="s">
        <v>58</v>
      </c>
      <c r="Z9" s="28"/>
    </row>
    <row r="10">
      <c r="B10" s="29" t="s">
        <v>10</v>
      </c>
      <c r="C10" s="30" t="s">
        <v>87</v>
      </c>
      <c r="D10" s="31" t="s">
        <v>88</v>
      </c>
      <c r="E10" s="32"/>
      <c r="F10" s="31"/>
      <c r="G10" s="31"/>
      <c r="H10" s="31"/>
      <c r="I10" s="31"/>
      <c r="J10" s="29" t="s">
        <v>17</v>
      </c>
      <c r="K10" s="47" t="s">
        <v>89</v>
      </c>
      <c r="L10" s="31" t="s">
        <v>90</v>
      </c>
      <c r="M10" s="32">
        <v>1640.0</v>
      </c>
      <c r="N10" s="31" t="b">
        <v>0</v>
      </c>
      <c r="O10" s="31" t="b">
        <v>0</v>
      </c>
      <c r="P10" s="31" t="b">
        <v>0</v>
      </c>
      <c r="Q10" s="31" t="b">
        <v>0</v>
      </c>
      <c r="R10" s="29" t="s">
        <v>29</v>
      </c>
      <c r="S10" s="30" t="s">
        <v>91</v>
      </c>
      <c r="T10" s="31" t="s">
        <v>92</v>
      </c>
      <c r="U10" s="32">
        <v>1640.0</v>
      </c>
      <c r="V10" s="33"/>
      <c r="W10" s="33" t="b">
        <v>0</v>
      </c>
      <c r="X10" s="33" t="b">
        <v>0</v>
      </c>
      <c r="Y10" s="33" t="b">
        <v>0</v>
      </c>
      <c r="Z10" s="28"/>
    </row>
    <row r="11">
      <c r="B11" s="28"/>
      <c r="C11" s="48"/>
      <c r="D11" s="31"/>
      <c r="E11" s="32"/>
      <c r="F11" s="40"/>
      <c r="G11" s="31"/>
      <c r="H11" s="31"/>
      <c r="I11" s="31"/>
      <c r="J11" s="28"/>
      <c r="K11" s="47" t="s">
        <v>93</v>
      </c>
      <c r="L11" s="31" t="s">
        <v>67</v>
      </c>
      <c r="M11" s="32">
        <v>1630.0</v>
      </c>
      <c r="N11" s="31" t="b">
        <v>0</v>
      </c>
      <c r="O11" s="31" t="b">
        <v>0</v>
      </c>
      <c r="P11" s="31" t="b">
        <v>0</v>
      </c>
      <c r="Q11" s="31" t="b">
        <v>0</v>
      </c>
      <c r="R11" s="28"/>
      <c r="S11" s="30" t="s">
        <v>94</v>
      </c>
      <c r="T11" s="31" t="s">
        <v>95</v>
      </c>
      <c r="U11" s="32">
        <v>1630.0</v>
      </c>
      <c r="V11" s="33"/>
      <c r="W11" s="33" t="b">
        <v>0</v>
      </c>
      <c r="X11" s="33" t="b">
        <v>0</v>
      </c>
      <c r="Y11" s="33" t="b">
        <v>0</v>
      </c>
      <c r="Z11" s="28"/>
    </row>
    <row r="12">
      <c r="B12" s="28"/>
      <c r="C12" s="48"/>
      <c r="D12" s="49"/>
      <c r="E12" s="32"/>
      <c r="F12" s="40"/>
      <c r="G12" s="31"/>
      <c r="H12" s="31"/>
      <c r="I12" s="31"/>
      <c r="J12" s="28"/>
      <c r="K12" s="47" t="s">
        <v>96</v>
      </c>
      <c r="L12" s="31" t="s">
        <v>97</v>
      </c>
      <c r="M12" s="32">
        <v>1630.0</v>
      </c>
      <c r="N12" s="31" t="b">
        <v>0</v>
      </c>
      <c r="O12" s="31" t="b">
        <v>0</v>
      </c>
      <c r="P12" s="31" t="b">
        <v>0</v>
      </c>
      <c r="Q12" s="31" t="b">
        <v>0</v>
      </c>
      <c r="R12" s="28"/>
      <c r="S12" s="30" t="s">
        <v>98</v>
      </c>
      <c r="T12" s="31" t="s">
        <v>99</v>
      </c>
      <c r="U12" s="32">
        <v>1620.0</v>
      </c>
      <c r="V12" s="33"/>
      <c r="W12" s="33" t="b">
        <v>0</v>
      </c>
      <c r="X12" s="33" t="b">
        <v>0</v>
      </c>
      <c r="Y12" s="33" t="b">
        <v>0</v>
      </c>
      <c r="Z12" s="28"/>
    </row>
    <row r="13">
      <c r="B13" s="28"/>
      <c r="C13" s="48"/>
      <c r="D13" s="49"/>
      <c r="E13" s="32"/>
      <c r="F13" s="40"/>
      <c r="G13" s="31"/>
      <c r="H13" s="31"/>
      <c r="I13" s="31"/>
      <c r="J13" s="28"/>
      <c r="K13" s="50" t="s">
        <v>100</v>
      </c>
      <c r="L13" s="31" t="s">
        <v>60</v>
      </c>
      <c r="M13" s="32">
        <v>1630.0</v>
      </c>
      <c r="N13" s="31" t="b">
        <v>0</v>
      </c>
      <c r="O13" s="31" t="b">
        <v>0</v>
      </c>
      <c r="P13" s="31" t="b">
        <v>0</v>
      </c>
      <c r="Q13" s="31" t="b">
        <v>0</v>
      </c>
      <c r="R13" s="28"/>
      <c r="S13" s="30" t="s">
        <v>101</v>
      </c>
      <c r="T13" s="31" t="s">
        <v>73</v>
      </c>
      <c r="U13" s="32">
        <v>1610.0</v>
      </c>
      <c r="V13" s="33" t="b">
        <v>0</v>
      </c>
      <c r="W13" s="33" t="b">
        <v>0</v>
      </c>
      <c r="X13" s="33" t="b">
        <v>0</v>
      </c>
      <c r="Y13" s="33"/>
      <c r="Z13" s="28"/>
    </row>
    <row r="14">
      <c r="B14" s="28"/>
      <c r="C14" s="48"/>
      <c r="D14" s="49"/>
      <c r="E14" s="32"/>
      <c r="F14" s="40"/>
      <c r="G14" s="31"/>
      <c r="H14" s="31"/>
      <c r="I14" s="31"/>
      <c r="J14" s="28"/>
      <c r="K14" s="47" t="s">
        <v>102</v>
      </c>
      <c r="L14" s="31" t="s">
        <v>90</v>
      </c>
      <c r="M14" s="32">
        <v>1630.0</v>
      </c>
      <c r="N14" s="31" t="b">
        <v>0</v>
      </c>
      <c r="O14" s="31" t="b">
        <v>0</v>
      </c>
      <c r="P14" s="31" t="b">
        <v>0</v>
      </c>
      <c r="Q14" s="31" t="b">
        <v>0</v>
      </c>
      <c r="R14" s="28"/>
      <c r="S14" s="30" t="s">
        <v>103</v>
      </c>
      <c r="T14" s="31" t="s">
        <v>69</v>
      </c>
      <c r="U14" s="32">
        <v>1630.0</v>
      </c>
      <c r="V14" s="33"/>
      <c r="W14" s="33" t="b">
        <v>0</v>
      </c>
      <c r="X14" s="33" t="b">
        <v>0</v>
      </c>
      <c r="Y14" s="33" t="b">
        <v>0</v>
      </c>
      <c r="Z14" s="28"/>
    </row>
    <row r="15">
      <c r="B15" s="51"/>
      <c r="C15" s="52"/>
      <c r="D15" s="53"/>
      <c r="E15" s="54"/>
      <c r="F15" s="40"/>
      <c r="G15" s="31"/>
      <c r="H15" s="40"/>
      <c r="I15" s="39"/>
      <c r="J15" s="28"/>
      <c r="K15" s="47" t="s">
        <v>104</v>
      </c>
      <c r="L15" s="31" t="s">
        <v>84</v>
      </c>
      <c r="M15" s="32">
        <v>1630.0</v>
      </c>
      <c r="N15" s="31" t="b">
        <v>0</v>
      </c>
      <c r="O15" s="31" t="b">
        <v>0</v>
      </c>
      <c r="P15" s="31" t="b">
        <v>0</v>
      </c>
      <c r="Q15" s="31" t="b">
        <v>0</v>
      </c>
      <c r="R15" s="28"/>
      <c r="S15" s="30" t="s">
        <v>105</v>
      </c>
      <c r="T15" s="31" t="s">
        <v>84</v>
      </c>
      <c r="U15" s="32">
        <v>1620.0</v>
      </c>
      <c r="V15" s="33"/>
      <c r="W15" s="33" t="b">
        <v>0</v>
      </c>
      <c r="X15" s="33" t="b">
        <v>0</v>
      </c>
      <c r="Y15" s="33" t="b">
        <v>0</v>
      </c>
      <c r="Z15" s="28"/>
    </row>
    <row r="16">
      <c r="B16" s="42" t="s">
        <v>51</v>
      </c>
      <c r="C16" s="43" t="s">
        <v>52</v>
      </c>
      <c r="D16" s="43" t="s">
        <v>53</v>
      </c>
      <c r="E16" s="44" t="s">
        <v>54</v>
      </c>
      <c r="F16" s="45" t="s">
        <v>55</v>
      </c>
      <c r="G16" s="45" t="s">
        <v>56</v>
      </c>
      <c r="H16" s="45" t="s">
        <v>57</v>
      </c>
      <c r="I16" s="24" t="s">
        <v>58</v>
      </c>
      <c r="J16" s="42" t="s">
        <v>51</v>
      </c>
      <c r="K16" s="43" t="s">
        <v>52</v>
      </c>
      <c r="L16" s="43" t="s">
        <v>53</v>
      </c>
      <c r="M16" s="44" t="s">
        <v>54</v>
      </c>
      <c r="N16" s="45" t="s">
        <v>55</v>
      </c>
      <c r="O16" s="45" t="s">
        <v>56</v>
      </c>
      <c r="P16" s="45" t="s">
        <v>57</v>
      </c>
      <c r="Q16" s="25" t="s">
        <v>58</v>
      </c>
      <c r="R16" s="46" t="s">
        <v>51</v>
      </c>
      <c r="S16" s="43" t="s">
        <v>52</v>
      </c>
      <c r="T16" s="43" t="s">
        <v>53</v>
      </c>
      <c r="U16" s="44" t="s">
        <v>54</v>
      </c>
      <c r="V16" s="45" t="s">
        <v>55</v>
      </c>
      <c r="W16" s="45" t="s">
        <v>56</v>
      </c>
      <c r="X16" s="45" t="s">
        <v>57</v>
      </c>
      <c r="Y16" s="27" t="s">
        <v>58</v>
      </c>
      <c r="Z16" s="28"/>
    </row>
    <row r="17">
      <c r="B17" s="29"/>
      <c r="C17" s="55"/>
      <c r="D17" s="31"/>
      <c r="E17" s="32"/>
      <c r="F17" s="31"/>
      <c r="G17" s="31"/>
      <c r="H17" s="31"/>
      <c r="I17" s="31"/>
      <c r="J17" s="29"/>
      <c r="K17" s="30"/>
      <c r="L17" s="31"/>
      <c r="M17" s="32"/>
      <c r="N17" s="31"/>
      <c r="O17" s="31"/>
      <c r="P17" s="31"/>
      <c r="Q17" s="35"/>
      <c r="R17" s="31" t="s">
        <v>29</v>
      </c>
      <c r="S17" s="30" t="s">
        <v>106</v>
      </c>
      <c r="T17" s="31" t="s">
        <v>63</v>
      </c>
      <c r="U17" s="32">
        <v>1640.0</v>
      </c>
      <c r="V17" s="31"/>
      <c r="W17" s="33" t="b">
        <v>0</v>
      </c>
      <c r="X17" s="33" t="b">
        <v>0</v>
      </c>
      <c r="Y17" s="33" t="b">
        <v>0</v>
      </c>
      <c r="Z17" s="28"/>
    </row>
    <row r="18">
      <c r="B18" s="28"/>
      <c r="C18" s="30"/>
      <c r="D18" s="31"/>
      <c r="E18" s="32"/>
      <c r="F18" s="31"/>
      <c r="G18" s="31"/>
      <c r="H18" s="31"/>
      <c r="I18" s="31"/>
      <c r="J18" s="28"/>
      <c r="K18" s="48"/>
      <c r="L18" s="31"/>
      <c r="M18" s="32"/>
      <c r="N18" s="40"/>
      <c r="O18" s="31"/>
      <c r="P18" s="31"/>
      <c r="Q18" s="35"/>
      <c r="S18" s="30" t="s">
        <v>107</v>
      </c>
      <c r="T18" s="31" t="s">
        <v>84</v>
      </c>
      <c r="U18" s="32">
        <v>1610.0</v>
      </c>
      <c r="V18" s="33" t="b">
        <v>0</v>
      </c>
      <c r="W18" s="33" t="b">
        <v>0</v>
      </c>
      <c r="X18" s="33" t="b">
        <v>0</v>
      </c>
      <c r="Y18" s="34"/>
      <c r="Z18" s="28"/>
    </row>
    <row r="19">
      <c r="B19" s="28"/>
      <c r="C19" s="30"/>
      <c r="D19" s="31"/>
      <c r="E19" s="32"/>
      <c r="F19" s="31"/>
      <c r="G19" s="31"/>
      <c r="H19" s="31"/>
      <c r="I19" s="31"/>
      <c r="J19" s="28"/>
      <c r="K19" s="30"/>
      <c r="L19" s="31"/>
      <c r="M19" s="32"/>
      <c r="N19" s="40"/>
      <c r="O19" s="31"/>
      <c r="P19" s="31"/>
      <c r="Q19" s="35"/>
      <c r="S19" s="30" t="s">
        <v>108</v>
      </c>
      <c r="T19" s="31" t="s">
        <v>86</v>
      </c>
      <c r="U19" s="32">
        <v>1610.0</v>
      </c>
      <c r="V19" s="33" t="b">
        <v>0</v>
      </c>
      <c r="W19" s="33" t="b">
        <v>0</v>
      </c>
      <c r="X19" s="33" t="b">
        <v>0</v>
      </c>
      <c r="Y19" s="34"/>
      <c r="Z19" s="28"/>
    </row>
    <row r="20">
      <c r="B20" s="28"/>
      <c r="C20" s="30"/>
      <c r="D20" s="31"/>
      <c r="E20" s="32"/>
      <c r="F20" s="31"/>
      <c r="G20" s="31"/>
      <c r="H20" s="31"/>
      <c r="I20" s="31"/>
      <c r="J20" s="28"/>
      <c r="K20" s="30"/>
      <c r="L20" s="31"/>
      <c r="M20" s="32"/>
      <c r="N20" s="31"/>
      <c r="O20" s="31"/>
      <c r="P20" s="31"/>
      <c r="Q20" s="35"/>
      <c r="S20" s="30" t="s">
        <v>109</v>
      </c>
      <c r="T20" s="31" t="s">
        <v>88</v>
      </c>
      <c r="U20" s="32" t="s">
        <v>110</v>
      </c>
      <c r="V20" s="33" t="b">
        <v>0</v>
      </c>
      <c r="W20" s="33" t="b">
        <v>0</v>
      </c>
      <c r="X20" s="40"/>
      <c r="Y20" s="34"/>
      <c r="Z20" s="28"/>
    </row>
    <row r="21">
      <c r="B21" s="28"/>
      <c r="C21" s="30"/>
      <c r="D21" s="31"/>
      <c r="E21" s="32"/>
      <c r="F21" s="31"/>
      <c r="G21" s="31"/>
      <c r="H21" s="31"/>
      <c r="I21" s="31"/>
      <c r="J21" s="28"/>
      <c r="K21" s="56"/>
      <c r="L21" s="31"/>
      <c r="M21" s="57"/>
      <c r="N21" s="40"/>
      <c r="O21" s="31"/>
      <c r="P21" s="31"/>
      <c r="Q21" s="35"/>
      <c r="S21" s="56"/>
      <c r="T21" s="49"/>
      <c r="U21" s="57"/>
      <c r="V21" s="31"/>
      <c r="W21" s="40"/>
      <c r="X21" s="40"/>
      <c r="Y21" s="35"/>
      <c r="Z21" s="28"/>
    </row>
    <row r="22">
      <c r="B22" s="28"/>
      <c r="C22" s="30"/>
      <c r="D22" s="31"/>
      <c r="E22" s="32"/>
      <c r="F22" s="31"/>
      <c r="G22" s="31"/>
      <c r="H22" s="40"/>
      <c r="I22" s="39"/>
      <c r="J22" s="28"/>
      <c r="K22" s="56"/>
      <c r="L22" s="49"/>
      <c r="M22" s="57"/>
      <c r="N22" s="40"/>
      <c r="O22" s="31"/>
      <c r="P22" s="58"/>
      <c r="Q22" s="59"/>
      <c r="S22" s="56"/>
      <c r="T22" s="49"/>
      <c r="U22" s="57"/>
      <c r="V22" s="31"/>
      <c r="W22" s="40"/>
      <c r="X22" s="58"/>
      <c r="Y22" s="41"/>
      <c r="Z22" s="28"/>
    </row>
    <row r="23">
      <c r="B23" s="42" t="s">
        <v>51</v>
      </c>
      <c r="C23" s="43" t="s">
        <v>52</v>
      </c>
      <c r="D23" s="43" t="s">
        <v>53</v>
      </c>
      <c r="E23" s="44" t="s">
        <v>54</v>
      </c>
      <c r="F23" s="45" t="s">
        <v>55</v>
      </c>
      <c r="G23" s="45" t="s">
        <v>56</v>
      </c>
      <c r="H23" s="45" t="s">
        <v>57</v>
      </c>
      <c r="I23" s="24" t="s">
        <v>58</v>
      </c>
      <c r="J23" s="42" t="s">
        <v>51</v>
      </c>
      <c r="K23" s="43" t="s">
        <v>52</v>
      </c>
      <c r="L23" s="43" t="s">
        <v>53</v>
      </c>
      <c r="M23" s="44" t="s">
        <v>54</v>
      </c>
      <c r="N23" s="45" t="s">
        <v>55</v>
      </c>
      <c r="O23" s="45" t="s">
        <v>56</v>
      </c>
      <c r="P23" s="45" t="s">
        <v>57</v>
      </c>
      <c r="Q23" s="25" t="s">
        <v>58</v>
      </c>
      <c r="R23" s="46" t="s">
        <v>51</v>
      </c>
      <c r="S23" s="43" t="s">
        <v>52</v>
      </c>
      <c r="T23" s="43" t="s">
        <v>53</v>
      </c>
      <c r="U23" s="44" t="s">
        <v>54</v>
      </c>
      <c r="V23" s="45" t="s">
        <v>55</v>
      </c>
      <c r="W23" s="45" t="s">
        <v>56</v>
      </c>
      <c r="X23" s="24" t="s">
        <v>57</v>
      </c>
      <c r="Y23" s="27" t="s">
        <v>58</v>
      </c>
      <c r="Z23" s="28"/>
    </row>
    <row r="24">
      <c r="B24" s="29" t="s">
        <v>14</v>
      </c>
      <c r="C24" s="30" t="s">
        <v>111</v>
      </c>
      <c r="D24" s="31" t="s">
        <v>112</v>
      </c>
      <c r="E24" s="32">
        <v>1610.0</v>
      </c>
      <c r="F24" s="31"/>
      <c r="G24" s="31"/>
      <c r="H24" s="31" t="b">
        <v>0</v>
      </c>
      <c r="I24" s="31"/>
      <c r="J24" s="29" t="s">
        <v>19</v>
      </c>
      <c r="K24" s="30" t="s">
        <v>113</v>
      </c>
      <c r="L24" s="31" t="s">
        <v>61</v>
      </c>
      <c r="M24" s="32">
        <v>1630.0</v>
      </c>
      <c r="N24" s="31"/>
      <c r="O24" s="33" t="b">
        <v>1</v>
      </c>
      <c r="P24" s="33" t="b">
        <v>1</v>
      </c>
      <c r="Q24" s="31" t="b">
        <v>1</v>
      </c>
      <c r="R24" s="31"/>
      <c r="S24" s="30"/>
      <c r="T24" s="31"/>
      <c r="U24" s="32"/>
      <c r="V24" s="31"/>
      <c r="W24" s="31"/>
      <c r="X24" s="31"/>
      <c r="Y24" s="34"/>
      <c r="Z24" s="28"/>
    </row>
    <row r="25">
      <c r="B25" s="28"/>
      <c r="C25" s="30" t="s">
        <v>114</v>
      </c>
      <c r="D25" s="31" t="s">
        <v>65</v>
      </c>
      <c r="E25" s="32">
        <v>1610.0</v>
      </c>
      <c r="F25" s="31"/>
      <c r="G25" s="31"/>
      <c r="H25" s="31" t="b">
        <v>1</v>
      </c>
      <c r="I25" s="31"/>
      <c r="J25" s="28"/>
      <c r="K25" s="30" t="s">
        <v>115</v>
      </c>
      <c r="L25" s="31" t="s">
        <v>73</v>
      </c>
      <c r="M25" s="32">
        <v>1610.0</v>
      </c>
      <c r="N25" s="33" t="b">
        <v>1</v>
      </c>
      <c r="O25" s="33" t="b">
        <v>1</v>
      </c>
      <c r="P25" s="33" t="b">
        <v>1</v>
      </c>
      <c r="Q25" s="31"/>
      <c r="S25" s="30"/>
      <c r="T25" s="31"/>
      <c r="U25" s="32"/>
      <c r="V25" s="31"/>
      <c r="W25" s="40"/>
      <c r="X25" s="40"/>
      <c r="Y25" s="34"/>
      <c r="Z25" s="28"/>
    </row>
    <row r="26">
      <c r="B26" s="28"/>
      <c r="C26" s="30" t="s">
        <v>116</v>
      </c>
      <c r="D26" s="31" t="s">
        <v>67</v>
      </c>
      <c r="E26" s="32">
        <v>1610.0</v>
      </c>
      <c r="F26" s="31"/>
      <c r="G26" s="31"/>
      <c r="H26" s="31" t="b">
        <v>0</v>
      </c>
      <c r="I26" s="31"/>
      <c r="J26" s="28"/>
      <c r="K26" s="30" t="s">
        <v>117</v>
      </c>
      <c r="L26" s="31" t="s">
        <v>67</v>
      </c>
      <c r="M26" s="32">
        <v>1600.0</v>
      </c>
      <c r="N26" s="33" t="b">
        <v>1</v>
      </c>
      <c r="O26" s="33" t="b">
        <v>0</v>
      </c>
      <c r="P26" s="31"/>
      <c r="Q26" s="35"/>
      <c r="S26" s="30"/>
      <c r="T26" s="49"/>
      <c r="U26" s="57"/>
      <c r="V26" s="31"/>
      <c r="W26" s="40"/>
      <c r="X26" s="40"/>
      <c r="Y26" s="34"/>
      <c r="Z26" s="28"/>
    </row>
    <row r="27">
      <c r="B27" s="28"/>
      <c r="C27" s="30" t="s">
        <v>118</v>
      </c>
      <c r="D27" s="31" t="s">
        <v>88</v>
      </c>
      <c r="E27" s="32">
        <v>1610.0</v>
      </c>
      <c r="F27" s="31"/>
      <c r="G27" s="31"/>
      <c r="H27" s="31" t="b">
        <v>0</v>
      </c>
      <c r="I27" s="31"/>
      <c r="J27" s="28"/>
      <c r="K27" s="30" t="s">
        <v>119</v>
      </c>
      <c r="L27" s="31" t="s">
        <v>99</v>
      </c>
      <c r="M27" s="32">
        <v>1600.0</v>
      </c>
      <c r="N27" s="33" t="b">
        <v>0</v>
      </c>
      <c r="O27" s="33" t="b">
        <v>0</v>
      </c>
      <c r="P27" s="31"/>
      <c r="Q27" s="35"/>
      <c r="S27" s="56"/>
      <c r="T27" s="49"/>
      <c r="U27" s="57"/>
      <c r="V27" s="31"/>
      <c r="W27" s="40"/>
      <c r="X27" s="40"/>
      <c r="Y27" s="34"/>
      <c r="Z27" s="28"/>
    </row>
    <row r="28">
      <c r="B28" s="28"/>
      <c r="C28" s="30" t="s">
        <v>120</v>
      </c>
      <c r="D28" s="31" t="s">
        <v>121</v>
      </c>
      <c r="E28" s="32">
        <v>1630.0</v>
      </c>
      <c r="F28" s="31"/>
      <c r="G28" s="31"/>
      <c r="H28" s="31" t="b">
        <v>1</v>
      </c>
      <c r="I28" s="31" t="b">
        <v>1</v>
      </c>
      <c r="J28" s="28"/>
      <c r="K28" s="30" t="s">
        <v>122</v>
      </c>
      <c r="L28" s="31" t="s">
        <v>84</v>
      </c>
      <c r="M28" s="32">
        <v>1600.0</v>
      </c>
      <c r="N28" s="33" t="b">
        <v>0</v>
      </c>
      <c r="O28" s="33" t="b">
        <v>0</v>
      </c>
      <c r="P28" s="31"/>
      <c r="Q28" s="35"/>
      <c r="S28" s="56"/>
      <c r="T28" s="49"/>
      <c r="U28" s="57"/>
      <c r="V28" s="31"/>
      <c r="W28" s="40"/>
      <c r="X28" s="40"/>
      <c r="Y28" s="35"/>
      <c r="Z28" s="28"/>
    </row>
    <row r="29">
      <c r="B29" s="51"/>
      <c r="C29" s="30" t="s">
        <v>123</v>
      </c>
      <c r="D29" s="39" t="s">
        <v>124</v>
      </c>
      <c r="E29" s="32">
        <v>1610.0</v>
      </c>
      <c r="F29" s="31"/>
      <c r="G29" s="31"/>
      <c r="H29" s="31" t="b">
        <v>0</v>
      </c>
      <c r="I29" s="39"/>
      <c r="J29" s="51"/>
      <c r="K29" s="30" t="s">
        <v>125</v>
      </c>
      <c r="L29" s="39" t="s">
        <v>121</v>
      </c>
      <c r="M29" s="32">
        <v>1600.0</v>
      </c>
      <c r="N29" s="31" t="b">
        <v>0</v>
      </c>
      <c r="O29" s="33" t="b">
        <v>0</v>
      </c>
      <c r="P29" s="58"/>
      <c r="Q29" s="59"/>
      <c r="R29" s="19"/>
      <c r="S29" s="56"/>
      <c r="T29" s="53"/>
      <c r="U29" s="57"/>
      <c r="V29" s="31"/>
      <c r="W29" s="40"/>
      <c r="X29" s="58"/>
      <c r="Y29" s="41"/>
      <c r="Z29" s="28"/>
    </row>
    <row r="30">
      <c r="B30" s="42" t="s">
        <v>51</v>
      </c>
      <c r="C30" s="43" t="s">
        <v>52</v>
      </c>
      <c r="D30" s="43" t="s">
        <v>53</v>
      </c>
      <c r="E30" s="44" t="s">
        <v>54</v>
      </c>
      <c r="F30" s="45" t="s">
        <v>55</v>
      </c>
      <c r="G30" s="45" t="s">
        <v>56</v>
      </c>
      <c r="H30" s="45" t="s">
        <v>57</v>
      </c>
      <c r="I30" s="24" t="s">
        <v>58</v>
      </c>
      <c r="J30" s="42" t="s">
        <v>51</v>
      </c>
      <c r="K30" s="43" t="s">
        <v>52</v>
      </c>
      <c r="L30" s="43" t="s">
        <v>53</v>
      </c>
      <c r="M30" s="44" t="s">
        <v>54</v>
      </c>
      <c r="N30" s="45" t="s">
        <v>55</v>
      </c>
      <c r="O30" s="45" t="s">
        <v>56</v>
      </c>
      <c r="P30" s="45" t="s">
        <v>57</v>
      </c>
      <c r="Q30" s="25" t="s">
        <v>58</v>
      </c>
      <c r="R30" s="46" t="s">
        <v>51</v>
      </c>
      <c r="S30" s="43" t="s">
        <v>52</v>
      </c>
      <c r="T30" s="43" t="s">
        <v>53</v>
      </c>
      <c r="U30" s="44" t="s">
        <v>54</v>
      </c>
      <c r="V30" s="45" t="s">
        <v>55</v>
      </c>
      <c r="W30" s="45" t="s">
        <v>56</v>
      </c>
      <c r="X30" s="24" t="s">
        <v>57</v>
      </c>
      <c r="Y30" s="27" t="s">
        <v>58</v>
      </c>
      <c r="Z30" s="28"/>
    </row>
    <row r="31">
      <c r="B31" s="29" t="s">
        <v>23</v>
      </c>
      <c r="C31" s="30" t="s">
        <v>23</v>
      </c>
      <c r="D31" s="31" t="s">
        <v>82</v>
      </c>
      <c r="E31" s="32">
        <v>1640.0</v>
      </c>
      <c r="F31" s="31"/>
      <c r="G31" s="31" t="b">
        <v>0</v>
      </c>
      <c r="H31" s="31" t="b">
        <v>0</v>
      </c>
      <c r="I31" s="33" t="b">
        <v>0</v>
      </c>
      <c r="J31" s="29" t="s">
        <v>26</v>
      </c>
      <c r="K31" s="30" t="s">
        <v>126</v>
      </c>
      <c r="L31" s="31" t="s">
        <v>84</v>
      </c>
      <c r="M31" s="32">
        <v>1620.0</v>
      </c>
      <c r="N31" s="33"/>
      <c r="O31" s="33" t="b">
        <v>1</v>
      </c>
      <c r="P31" s="33" t="b">
        <v>1</v>
      </c>
      <c r="Q31" s="33" t="b">
        <v>1</v>
      </c>
      <c r="R31" s="31" t="s">
        <v>35</v>
      </c>
      <c r="S31" s="30" t="s">
        <v>127</v>
      </c>
      <c r="T31" s="31" t="s">
        <v>82</v>
      </c>
      <c r="U31" s="32">
        <v>1630.0</v>
      </c>
      <c r="V31" s="31"/>
      <c r="W31" s="33"/>
      <c r="X31" s="33"/>
      <c r="Y31" s="34"/>
      <c r="Z31" s="28"/>
    </row>
    <row r="32">
      <c r="B32" s="28"/>
      <c r="C32" s="30" t="s">
        <v>128</v>
      </c>
      <c r="D32" s="31" t="s">
        <v>67</v>
      </c>
      <c r="E32" s="32">
        <v>1620.0</v>
      </c>
      <c r="F32" s="31"/>
      <c r="G32" s="31" t="b">
        <v>0</v>
      </c>
      <c r="H32" s="33" t="b">
        <v>0</v>
      </c>
      <c r="I32" s="33" t="b">
        <v>0</v>
      </c>
      <c r="J32" s="28"/>
      <c r="K32" s="30" t="s">
        <v>129</v>
      </c>
      <c r="L32" s="31" t="s">
        <v>95</v>
      </c>
      <c r="M32" s="32">
        <v>1600.0</v>
      </c>
      <c r="N32" s="33"/>
      <c r="O32" s="33"/>
      <c r="P32" s="31"/>
      <c r="Q32" s="35"/>
      <c r="S32" s="30" t="s">
        <v>130</v>
      </c>
      <c r="T32" s="31" t="s">
        <v>67</v>
      </c>
      <c r="U32" s="32">
        <v>1630.0</v>
      </c>
      <c r="V32" s="33"/>
      <c r="W32" s="33"/>
      <c r="X32" s="33" t="b">
        <v>0</v>
      </c>
      <c r="Y32" s="34" t="b">
        <v>1</v>
      </c>
      <c r="Z32" s="28"/>
    </row>
    <row r="33">
      <c r="B33" s="28"/>
      <c r="C33" s="30" t="s">
        <v>131</v>
      </c>
      <c r="D33" s="31" t="s">
        <v>69</v>
      </c>
      <c r="E33" s="32">
        <v>1620.0</v>
      </c>
      <c r="F33" s="31"/>
      <c r="G33" s="31" t="b">
        <v>0</v>
      </c>
      <c r="H33" s="33" t="b">
        <v>0</v>
      </c>
      <c r="I33" s="33" t="b">
        <v>0</v>
      </c>
      <c r="J33" s="28"/>
      <c r="K33" s="30" t="s">
        <v>132</v>
      </c>
      <c r="L33" s="31" t="s">
        <v>73</v>
      </c>
      <c r="M33" s="32">
        <v>1630.0</v>
      </c>
      <c r="N33" s="33"/>
      <c r="O33" s="33" t="b">
        <v>1</v>
      </c>
      <c r="P33" s="33" t="b">
        <v>1</v>
      </c>
      <c r="Q33" s="33" t="b">
        <v>1</v>
      </c>
      <c r="S33" s="30" t="s">
        <v>133</v>
      </c>
      <c r="T33" s="31" t="s">
        <v>77</v>
      </c>
      <c r="U33" s="32">
        <v>1630.0</v>
      </c>
      <c r="V33" s="33"/>
      <c r="W33" s="33"/>
      <c r="X33" s="33"/>
      <c r="Y33" s="34"/>
      <c r="Z33" s="28"/>
    </row>
    <row r="34">
      <c r="B34" s="28"/>
      <c r="C34" s="30" t="s">
        <v>134</v>
      </c>
      <c r="D34" s="31" t="s">
        <v>112</v>
      </c>
      <c r="E34" s="32" t="s">
        <v>135</v>
      </c>
      <c r="F34" s="31" t="s">
        <v>136</v>
      </c>
      <c r="G34" s="31" t="b">
        <v>0</v>
      </c>
      <c r="H34" s="33" t="b">
        <v>0</v>
      </c>
      <c r="I34" s="33" t="b">
        <v>0</v>
      </c>
      <c r="J34" s="28"/>
      <c r="K34" s="30" t="s">
        <v>137</v>
      </c>
      <c r="L34" s="31" t="s">
        <v>99</v>
      </c>
      <c r="M34" s="32">
        <v>1610.0</v>
      </c>
      <c r="N34" s="33"/>
      <c r="O34" s="33" t="b">
        <v>1</v>
      </c>
      <c r="P34" s="33" t="b">
        <v>1</v>
      </c>
      <c r="Q34" s="35"/>
      <c r="S34" s="30" t="s">
        <v>138</v>
      </c>
      <c r="T34" s="31" t="s">
        <v>139</v>
      </c>
      <c r="U34" s="32">
        <v>1630.0</v>
      </c>
      <c r="V34" s="33"/>
      <c r="W34" s="33"/>
      <c r="X34" s="33" t="b">
        <v>0</v>
      </c>
      <c r="Y34" s="34" t="b">
        <v>0</v>
      </c>
      <c r="Z34" s="28"/>
    </row>
    <row r="35">
      <c r="B35" s="28"/>
      <c r="C35" s="30" t="s">
        <v>140</v>
      </c>
      <c r="D35" s="31" t="s">
        <v>73</v>
      </c>
      <c r="E35" s="32">
        <v>1610.0</v>
      </c>
      <c r="F35" s="31" t="b">
        <v>0</v>
      </c>
      <c r="G35" s="31" t="b">
        <v>0</v>
      </c>
      <c r="H35" s="31" t="b">
        <v>0</v>
      </c>
      <c r="I35" s="31"/>
      <c r="J35" s="28"/>
      <c r="K35" s="30" t="s">
        <v>141</v>
      </c>
      <c r="L35" s="31" t="s">
        <v>77</v>
      </c>
      <c r="M35" s="32">
        <v>1600.0</v>
      </c>
      <c r="N35" s="33"/>
      <c r="O35" s="33"/>
      <c r="P35" s="31"/>
      <c r="Q35" s="35"/>
      <c r="S35" s="30" t="s">
        <v>142</v>
      </c>
      <c r="T35" s="31" t="s">
        <v>143</v>
      </c>
      <c r="U35" s="32">
        <v>1630.0</v>
      </c>
      <c r="V35" s="33"/>
      <c r="W35" s="40"/>
      <c r="X35" s="33" t="b">
        <v>0</v>
      </c>
      <c r="Y35" s="34" t="b">
        <v>1</v>
      </c>
      <c r="Z35" s="28"/>
    </row>
    <row r="36">
      <c r="B36" s="51"/>
      <c r="C36" s="30" t="s">
        <v>144</v>
      </c>
      <c r="D36" s="39" t="s">
        <v>99</v>
      </c>
      <c r="E36" s="32">
        <v>1610.0</v>
      </c>
      <c r="F36" s="31" t="b">
        <v>0</v>
      </c>
      <c r="G36" s="31" t="b">
        <v>0</v>
      </c>
      <c r="H36" s="31" t="b">
        <v>0</v>
      </c>
      <c r="I36" s="39"/>
      <c r="J36" s="51"/>
      <c r="K36" s="30" t="s">
        <v>145</v>
      </c>
      <c r="L36" s="39" t="s">
        <v>69</v>
      </c>
      <c r="M36" s="32">
        <v>1600.0</v>
      </c>
      <c r="N36" s="33"/>
      <c r="O36" s="33"/>
      <c r="P36" s="58"/>
      <c r="Q36" s="59"/>
      <c r="R36" s="19"/>
      <c r="S36" s="30" t="s">
        <v>146</v>
      </c>
      <c r="T36" s="39" t="s">
        <v>88</v>
      </c>
      <c r="U36" s="60">
        <v>1610.0</v>
      </c>
      <c r="V36" s="31"/>
      <c r="W36" s="40"/>
      <c r="X36" s="58" t="s">
        <v>50</v>
      </c>
      <c r="Y36" s="34"/>
      <c r="Z36" s="28"/>
    </row>
    <row r="37">
      <c r="B37" s="42" t="s">
        <v>51</v>
      </c>
      <c r="C37" s="43" t="s">
        <v>52</v>
      </c>
      <c r="D37" s="43" t="s">
        <v>53</v>
      </c>
      <c r="E37" s="44" t="s">
        <v>54</v>
      </c>
      <c r="F37" s="45" t="s">
        <v>55</v>
      </c>
      <c r="G37" s="45" t="s">
        <v>56</v>
      </c>
      <c r="H37" s="45" t="s">
        <v>57</v>
      </c>
      <c r="I37" s="24" t="s">
        <v>58</v>
      </c>
      <c r="J37" s="42" t="s">
        <v>51</v>
      </c>
      <c r="K37" s="43" t="s">
        <v>52</v>
      </c>
      <c r="L37" s="43" t="s">
        <v>53</v>
      </c>
      <c r="M37" s="44" t="s">
        <v>54</v>
      </c>
      <c r="N37" s="45" t="s">
        <v>55</v>
      </c>
      <c r="O37" s="45" t="s">
        <v>56</v>
      </c>
      <c r="P37" s="45" t="s">
        <v>57</v>
      </c>
      <c r="Q37" s="25" t="s">
        <v>58</v>
      </c>
      <c r="R37" s="46" t="s">
        <v>51</v>
      </c>
      <c r="S37" s="43" t="s">
        <v>52</v>
      </c>
      <c r="T37" s="43" t="s">
        <v>53</v>
      </c>
      <c r="U37" s="44" t="s">
        <v>54</v>
      </c>
      <c r="V37" s="45" t="s">
        <v>55</v>
      </c>
      <c r="W37" s="45" t="s">
        <v>56</v>
      </c>
      <c r="X37" s="24" t="s">
        <v>57</v>
      </c>
      <c r="Y37" s="27" t="s">
        <v>58</v>
      </c>
      <c r="Z37" s="28"/>
    </row>
    <row r="38">
      <c r="B38" s="29" t="s">
        <v>25</v>
      </c>
      <c r="C38" s="30" t="s">
        <v>147</v>
      </c>
      <c r="D38" s="31" t="s">
        <v>80</v>
      </c>
      <c r="E38" s="32">
        <v>1630.0</v>
      </c>
      <c r="F38" s="61"/>
      <c r="G38" s="31" t="b">
        <v>0</v>
      </c>
      <c r="H38" s="31" t="b">
        <v>0</v>
      </c>
      <c r="I38" s="31" t="b">
        <v>0</v>
      </c>
      <c r="J38" s="29" t="s">
        <v>148</v>
      </c>
      <c r="K38" s="30" t="s">
        <v>149</v>
      </c>
      <c r="L38" s="31" t="s">
        <v>95</v>
      </c>
      <c r="M38" s="32">
        <v>1600.0</v>
      </c>
      <c r="N38" s="31"/>
      <c r="O38" s="31"/>
      <c r="P38" s="31"/>
      <c r="Q38" s="35"/>
      <c r="R38" s="31"/>
      <c r="S38" s="30"/>
      <c r="T38" s="31"/>
      <c r="U38" s="32"/>
      <c r="V38" s="31"/>
      <c r="W38" s="31"/>
      <c r="X38" s="31"/>
      <c r="Y38" s="34"/>
      <c r="Z38" s="28"/>
    </row>
    <row r="39">
      <c r="B39" s="28"/>
      <c r="C39" s="30" t="s">
        <v>150</v>
      </c>
      <c r="D39" s="31" t="s">
        <v>151</v>
      </c>
      <c r="E39" s="32">
        <v>1630.0</v>
      </c>
      <c r="F39" s="62"/>
      <c r="G39" s="31" t="b">
        <v>0</v>
      </c>
      <c r="H39" s="31" t="b">
        <v>0</v>
      </c>
      <c r="I39" s="31" t="b">
        <v>0</v>
      </c>
      <c r="J39" s="28"/>
      <c r="K39" s="30" t="s">
        <v>152</v>
      </c>
      <c r="L39" s="31" t="s">
        <v>153</v>
      </c>
      <c r="M39" s="32">
        <v>1551.0</v>
      </c>
      <c r="N39" s="40"/>
      <c r="O39" s="31"/>
      <c r="P39" s="31"/>
      <c r="Q39" s="35"/>
      <c r="S39" s="30"/>
      <c r="T39" s="31"/>
      <c r="U39" s="32"/>
      <c r="V39" s="40"/>
      <c r="W39" s="31"/>
      <c r="X39" s="31"/>
      <c r="Y39" s="34"/>
      <c r="Z39" s="28"/>
    </row>
    <row r="40">
      <c r="B40" s="28"/>
      <c r="C40" s="30" t="s">
        <v>154</v>
      </c>
      <c r="D40" s="31" t="s">
        <v>69</v>
      </c>
      <c r="E40" s="32">
        <v>1620.0</v>
      </c>
      <c r="F40" s="63"/>
      <c r="G40" s="31" t="b">
        <v>0</v>
      </c>
      <c r="H40" s="31" t="b">
        <v>0</v>
      </c>
      <c r="I40" s="31" t="b">
        <v>0</v>
      </c>
      <c r="J40" s="28"/>
      <c r="K40" s="30" t="s">
        <v>155</v>
      </c>
      <c r="L40" s="31" t="s">
        <v>90</v>
      </c>
      <c r="M40" s="32">
        <v>1526.0</v>
      </c>
      <c r="N40" s="40"/>
      <c r="O40" s="31"/>
      <c r="P40" s="31"/>
      <c r="Q40" s="35"/>
      <c r="S40" s="48"/>
      <c r="T40" s="49"/>
      <c r="U40" s="32"/>
      <c r="V40" s="40"/>
      <c r="W40" s="31"/>
      <c r="X40" s="31"/>
      <c r="Y40" s="34"/>
      <c r="Z40" s="28"/>
    </row>
    <row r="41">
      <c r="B41" s="28"/>
      <c r="C41" s="30" t="s">
        <v>156</v>
      </c>
      <c r="D41" s="31" t="s">
        <v>65</v>
      </c>
      <c r="E41" s="32">
        <v>1630.0</v>
      </c>
      <c r="F41" s="62"/>
      <c r="G41" s="31" t="b">
        <v>0</v>
      </c>
      <c r="H41" s="31" t="b">
        <v>0</v>
      </c>
      <c r="I41" s="31" t="b">
        <v>0</v>
      </c>
      <c r="J41" s="28"/>
      <c r="K41" s="30" t="s">
        <v>157</v>
      </c>
      <c r="L41" s="31" t="s">
        <v>124</v>
      </c>
      <c r="M41" s="32">
        <v>1548.0</v>
      </c>
      <c r="N41" s="40"/>
      <c r="O41" s="31"/>
      <c r="P41" s="31"/>
      <c r="Q41" s="35"/>
      <c r="S41" s="48"/>
      <c r="T41" s="49"/>
      <c r="U41" s="32"/>
      <c r="V41" s="40"/>
      <c r="W41" s="31"/>
      <c r="X41" s="31"/>
      <c r="Y41" s="34"/>
      <c r="Z41" s="28"/>
    </row>
    <row r="42">
      <c r="B42" s="28"/>
      <c r="C42" s="30" t="s">
        <v>158</v>
      </c>
      <c r="D42" s="31" t="s">
        <v>88</v>
      </c>
      <c r="E42" s="32">
        <v>1630.0</v>
      </c>
      <c r="F42" s="62"/>
      <c r="G42" s="31"/>
      <c r="H42" s="31" t="b">
        <v>0</v>
      </c>
      <c r="I42" s="31" t="b">
        <v>0</v>
      </c>
      <c r="J42" s="28"/>
      <c r="K42" s="30" t="s">
        <v>159</v>
      </c>
      <c r="L42" s="31" t="s">
        <v>88</v>
      </c>
      <c r="M42" s="32">
        <v>1520.0</v>
      </c>
      <c r="N42" s="40"/>
      <c r="O42" s="31"/>
      <c r="P42" s="31"/>
      <c r="Q42" s="35"/>
      <c r="S42" s="48"/>
      <c r="T42" s="49"/>
      <c r="U42" s="32"/>
      <c r="V42" s="40"/>
      <c r="W42" s="31"/>
      <c r="X42" s="31"/>
      <c r="Y42" s="35"/>
      <c r="Z42" s="28"/>
    </row>
    <row r="43">
      <c r="B43" s="51"/>
      <c r="C43" s="64" t="s">
        <v>160</v>
      </c>
      <c r="D43" s="39" t="s">
        <v>67</v>
      </c>
      <c r="E43" s="60">
        <v>1620.0</v>
      </c>
      <c r="F43" s="62"/>
      <c r="G43" s="31"/>
      <c r="H43" s="31" t="b">
        <v>0</v>
      </c>
      <c r="I43" s="31" t="b">
        <v>0</v>
      </c>
      <c r="J43" s="51"/>
      <c r="K43" s="48" t="s">
        <v>161</v>
      </c>
      <c r="L43" s="39" t="s">
        <v>67</v>
      </c>
      <c r="M43" s="60">
        <v>1594.0</v>
      </c>
      <c r="N43" s="31"/>
      <c r="O43" s="31"/>
      <c r="P43" s="58"/>
      <c r="Q43" s="59"/>
      <c r="R43" s="19"/>
      <c r="S43" s="52"/>
      <c r="T43" s="53"/>
      <c r="U43" s="54"/>
      <c r="V43" s="40"/>
      <c r="W43" s="31"/>
      <c r="X43" s="58"/>
      <c r="Y43" s="41"/>
      <c r="Z43" s="28"/>
    </row>
    <row r="44">
      <c r="B44" s="42" t="s">
        <v>51</v>
      </c>
      <c r="C44" s="43" t="s">
        <v>52</v>
      </c>
      <c r="D44" s="43" t="s">
        <v>53</v>
      </c>
      <c r="E44" s="44" t="s">
        <v>54</v>
      </c>
      <c r="F44" s="45" t="s">
        <v>55</v>
      </c>
      <c r="G44" s="45" t="s">
        <v>56</v>
      </c>
      <c r="H44" s="45" t="s">
        <v>57</v>
      </c>
      <c r="I44" s="24" t="s">
        <v>58</v>
      </c>
      <c r="J44" s="42" t="s">
        <v>51</v>
      </c>
      <c r="K44" s="43" t="s">
        <v>52</v>
      </c>
      <c r="L44" s="43" t="s">
        <v>53</v>
      </c>
      <c r="M44" s="44" t="s">
        <v>54</v>
      </c>
      <c r="N44" s="45" t="s">
        <v>55</v>
      </c>
      <c r="O44" s="45" t="s">
        <v>56</v>
      </c>
      <c r="P44" s="45" t="s">
        <v>57</v>
      </c>
      <c r="Q44" s="25" t="s">
        <v>58</v>
      </c>
      <c r="R44" s="46" t="s">
        <v>51</v>
      </c>
      <c r="S44" s="43" t="s">
        <v>52</v>
      </c>
      <c r="T44" s="43" t="s">
        <v>53</v>
      </c>
      <c r="U44" s="44" t="s">
        <v>54</v>
      </c>
      <c r="V44" s="45" t="s">
        <v>55</v>
      </c>
      <c r="W44" s="45" t="s">
        <v>56</v>
      </c>
      <c r="X44" s="24" t="s">
        <v>57</v>
      </c>
      <c r="Y44" s="27" t="s">
        <v>58</v>
      </c>
      <c r="Z44" s="28"/>
    </row>
    <row r="45">
      <c r="B45" s="29" t="s">
        <v>31</v>
      </c>
      <c r="C45" s="30" t="s">
        <v>31</v>
      </c>
      <c r="D45" s="31" t="s">
        <v>90</v>
      </c>
      <c r="E45" s="32">
        <v>1630.0</v>
      </c>
      <c r="F45" s="31"/>
      <c r="G45" s="31" t="b">
        <v>1</v>
      </c>
      <c r="H45" s="31" t="b">
        <v>1</v>
      </c>
      <c r="I45" s="31" t="b">
        <v>1</v>
      </c>
      <c r="J45" s="29" t="s">
        <v>148</v>
      </c>
      <c r="K45" s="48" t="s">
        <v>162</v>
      </c>
      <c r="L45" s="31" t="s">
        <v>90</v>
      </c>
      <c r="M45" s="32">
        <v>1600.0</v>
      </c>
      <c r="N45" s="31"/>
      <c r="O45" s="31"/>
      <c r="P45" s="31"/>
      <c r="Q45" s="35"/>
      <c r="R45" s="31"/>
      <c r="S45" s="30"/>
      <c r="T45" s="31"/>
      <c r="U45" s="32"/>
      <c r="V45" s="31"/>
      <c r="W45" s="31"/>
      <c r="X45" s="31"/>
      <c r="Y45" s="34"/>
      <c r="Z45" s="28"/>
    </row>
    <row r="46">
      <c r="B46" s="28"/>
      <c r="C46" s="30" t="s">
        <v>163</v>
      </c>
      <c r="D46" s="31" t="s">
        <v>95</v>
      </c>
      <c r="E46" s="32">
        <v>1630.0</v>
      </c>
      <c r="F46" s="31" t="s">
        <v>164</v>
      </c>
      <c r="G46" s="31" t="b">
        <v>0</v>
      </c>
      <c r="H46" s="31" t="b">
        <v>1</v>
      </c>
      <c r="I46" s="31" t="b">
        <v>1</v>
      </c>
      <c r="J46" s="28"/>
      <c r="K46" s="48" t="s">
        <v>165</v>
      </c>
      <c r="L46" s="31" t="s">
        <v>97</v>
      </c>
      <c r="M46" s="32">
        <v>1610.0</v>
      </c>
      <c r="N46" s="31"/>
      <c r="O46" s="31"/>
      <c r="P46" s="31"/>
      <c r="Q46" s="35"/>
      <c r="S46" s="30"/>
      <c r="T46" s="31"/>
      <c r="U46" s="32"/>
      <c r="V46" s="31"/>
      <c r="W46" s="31"/>
      <c r="X46" s="31"/>
      <c r="Y46" s="34"/>
      <c r="Z46" s="28"/>
    </row>
    <row r="47">
      <c r="B47" s="28"/>
      <c r="C47" s="30" t="s">
        <v>166</v>
      </c>
      <c r="D47" s="31" t="s">
        <v>60</v>
      </c>
      <c r="E47" s="32">
        <v>1620.0</v>
      </c>
      <c r="F47" s="31"/>
      <c r="G47" s="31" t="b">
        <v>0</v>
      </c>
      <c r="H47" s="31" t="b">
        <v>1</v>
      </c>
      <c r="I47" s="31" t="b">
        <v>0</v>
      </c>
      <c r="J47" s="28"/>
      <c r="K47" s="48" t="s">
        <v>167</v>
      </c>
      <c r="L47" s="31" t="s">
        <v>80</v>
      </c>
      <c r="M47" s="32">
        <v>1591.0</v>
      </c>
      <c r="N47" s="31"/>
      <c r="O47" s="31"/>
      <c r="P47" s="31"/>
      <c r="Q47" s="35"/>
      <c r="S47" s="30"/>
      <c r="T47" s="31"/>
      <c r="U47" s="32"/>
      <c r="V47" s="31"/>
      <c r="W47" s="31"/>
      <c r="X47" s="31"/>
      <c r="Y47" s="34"/>
      <c r="Z47" s="28"/>
    </row>
    <row r="48">
      <c r="B48" s="28"/>
      <c r="C48" s="30" t="s">
        <v>168</v>
      </c>
      <c r="D48" s="31" t="s">
        <v>73</v>
      </c>
      <c r="E48" s="32">
        <v>1620.0</v>
      </c>
      <c r="F48" s="31"/>
      <c r="G48" s="31" t="b">
        <v>0</v>
      </c>
      <c r="H48" s="31" t="b">
        <v>1</v>
      </c>
      <c r="I48" s="31" t="b">
        <v>1</v>
      </c>
      <c r="J48" s="28"/>
      <c r="K48" s="48" t="s">
        <v>169</v>
      </c>
      <c r="L48" s="31" t="s">
        <v>73</v>
      </c>
      <c r="M48" s="32">
        <v>1594.0</v>
      </c>
      <c r="N48" s="31"/>
      <c r="O48" s="31"/>
      <c r="P48" s="31"/>
      <c r="Q48" s="35"/>
      <c r="S48" s="30"/>
      <c r="T48" s="31"/>
      <c r="U48" s="32"/>
      <c r="V48" s="31"/>
      <c r="W48" s="31"/>
      <c r="X48" s="31"/>
      <c r="Y48" s="34"/>
      <c r="Z48" s="28"/>
    </row>
    <row r="49">
      <c r="B49" s="28"/>
      <c r="C49" s="30" t="s">
        <v>170</v>
      </c>
      <c r="D49" s="31" t="s">
        <v>69</v>
      </c>
      <c r="E49" s="32">
        <v>1610.0</v>
      </c>
      <c r="F49" s="31" t="b">
        <v>1</v>
      </c>
      <c r="G49" s="31" t="b">
        <v>1</v>
      </c>
      <c r="H49" s="31" t="b">
        <v>1</v>
      </c>
      <c r="I49" s="31"/>
      <c r="J49" s="28"/>
      <c r="K49" s="48" t="s">
        <v>171</v>
      </c>
      <c r="L49" s="31" t="s">
        <v>95</v>
      </c>
      <c r="M49" s="32">
        <v>1585.0</v>
      </c>
      <c r="N49" s="31"/>
      <c r="O49" s="31"/>
      <c r="P49" s="31"/>
      <c r="Q49" s="35"/>
      <c r="S49" s="30"/>
      <c r="T49" s="31"/>
      <c r="U49" s="32"/>
      <c r="V49" s="31"/>
      <c r="W49" s="31"/>
      <c r="X49" s="31"/>
      <c r="Y49" s="35"/>
      <c r="Z49" s="28"/>
    </row>
    <row r="50">
      <c r="B50" s="51"/>
      <c r="C50" s="64" t="s">
        <v>172</v>
      </c>
      <c r="D50" s="39" t="s">
        <v>67</v>
      </c>
      <c r="E50" s="60">
        <v>1600.0</v>
      </c>
      <c r="F50" s="31" t="b">
        <v>1</v>
      </c>
      <c r="G50" s="31" t="b">
        <v>0</v>
      </c>
      <c r="H50" s="40"/>
      <c r="I50" s="39"/>
      <c r="J50" s="51"/>
      <c r="K50" s="52" t="s">
        <v>173</v>
      </c>
      <c r="L50" s="39" t="s">
        <v>67</v>
      </c>
      <c r="M50" s="60">
        <v>1580.0</v>
      </c>
      <c r="N50" s="33"/>
      <c r="O50" s="31"/>
      <c r="P50" s="58"/>
      <c r="Q50" s="59"/>
      <c r="R50" s="19"/>
      <c r="S50" s="64"/>
      <c r="T50" s="39"/>
      <c r="U50" s="60"/>
      <c r="V50" s="31"/>
      <c r="W50" s="31"/>
      <c r="X50" s="58"/>
      <c r="Y50" s="41"/>
      <c r="Z50" s="28"/>
    </row>
    <row r="51">
      <c r="B51" s="42" t="s">
        <v>51</v>
      </c>
      <c r="C51" s="43" t="s">
        <v>52</v>
      </c>
      <c r="D51" s="43" t="s">
        <v>53</v>
      </c>
      <c r="E51" s="44" t="s">
        <v>54</v>
      </c>
      <c r="F51" s="45" t="s">
        <v>55</v>
      </c>
      <c r="G51" s="45" t="s">
        <v>56</v>
      </c>
      <c r="H51" s="45" t="s">
        <v>57</v>
      </c>
      <c r="I51" s="24" t="s">
        <v>58</v>
      </c>
      <c r="J51" s="42" t="s">
        <v>51</v>
      </c>
      <c r="K51" s="43" t="s">
        <v>52</v>
      </c>
      <c r="L51" s="43" t="s">
        <v>53</v>
      </c>
      <c r="M51" s="44" t="s">
        <v>54</v>
      </c>
      <c r="N51" s="45" t="s">
        <v>55</v>
      </c>
      <c r="O51" s="45" t="s">
        <v>56</v>
      </c>
      <c r="P51" s="45" t="s">
        <v>57</v>
      </c>
      <c r="Q51" s="25" t="s">
        <v>58</v>
      </c>
      <c r="R51" s="46" t="s">
        <v>51</v>
      </c>
      <c r="S51" s="43" t="s">
        <v>52</v>
      </c>
      <c r="T51" s="43" t="s">
        <v>53</v>
      </c>
      <c r="U51" s="44" t="s">
        <v>54</v>
      </c>
      <c r="V51" s="45" t="s">
        <v>55</v>
      </c>
      <c r="W51" s="45" t="s">
        <v>56</v>
      </c>
      <c r="X51" s="24" t="s">
        <v>57</v>
      </c>
      <c r="Y51" s="27" t="s">
        <v>58</v>
      </c>
      <c r="Z51" s="28"/>
    </row>
    <row r="52">
      <c r="B52" s="29" t="s">
        <v>39</v>
      </c>
      <c r="C52" s="30" t="s">
        <v>174</v>
      </c>
      <c r="D52" s="31" t="s">
        <v>124</v>
      </c>
      <c r="E52" s="32">
        <v>1630.0</v>
      </c>
      <c r="F52" s="31"/>
      <c r="G52" s="33" t="b">
        <v>0</v>
      </c>
      <c r="H52" s="31" t="b">
        <v>1</v>
      </c>
      <c r="I52" s="31" t="b">
        <v>1</v>
      </c>
      <c r="J52" s="29" t="s">
        <v>41</v>
      </c>
      <c r="K52" s="48" t="s">
        <v>175</v>
      </c>
      <c r="L52" s="31" t="s">
        <v>67</v>
      </c>
      <c r="M52" s="32">
        <v>1630.0</v>
      </c>
      <c r="N52" s="31"/>
      <c r="O52" s="31"/>
      <c r="P52" s="31"/>
      <c r="Q52" s="31"/>
      <c r="R52" s="31" t="s">
        <v>49</v>
      </c>
      <c r="S52" s="48" t="s">
        <v>176</v>
      </c>
      <c r="T52" s="31" t="s">
        <v>124</v>
      </c>
      <c r="U52" s="32">
        <v>1610.0</v>
      </c>
      <c r="V52" s="31"/>
      <c r="W52" s="40"/>
      <c r="X52" s="31"/>
      <c r="Y52" s="34"/>
      <c r="Z52" s="28"/>
    </row>
    <row r="53">
      <c r="B53" s="28"/>
      <c r="C53" s="30" t="s">
        <v>177</v>
      </c>
      <c r="D53" s="31" t="s">
        <v>124</v>
      </c>
      <c r="E53" s="32">
        <v>1610.0</v>
      </c>
      <c r="F53" s="31" t="b">
        <v>1</v>
      </c>
      <c r="G53" s="33" t="b">
        <v>1</v>
      </c>
      <c r="H53" s="31" t="b">
        <v>1</v>
      </c>
      <c r="I53" s="31"/>
      <c r="J53" s="28"/>
      <c r="K53" s="48" t="s">
        <v>178</v>
      </c>
      <c r="L53" s="31" t="s">
        <v>67</v>
      </c>
      <c r="M53" s="32">
        <v>1630.0</v>
      </c>
      <c r="N53" s="31"/>
      <c r="O53" s="31"/>
      <c r="P53" s="31"/>
      <c r="Q53" s="31"/>
      <c r="S53" s="48" t="s">
        <v>179</v>
      </c>
      <c r="T53" s="31" t="s">
        <v>65</v>
      </c>
      <c r="U53" s="32">
        <v>1610.0</v>
      </c>
      <c r="V53" s="31"/>
      <c r="W53" s="40"/>
      <c r="X53" s="31" t="b">
        <v>0</v>
      </c>
      <c r="Y53" s="34"/>
      <c r="Z53" s="28"/>
    </row>
    <row r="54">
      <c r="B54" s="28"/>
      <c r="C54" s="30" t="s">
        <v>180</v>
      </c>
      <c r="D54" s="31" t="s">
        <v>124</v>
      </c>
      <c r="E54" s="32">
        <v>1610.0</v>
      </c>
      <c r="F54" s="31" t="b">
        <v>1</v>
      </c>
      <c r="G54" s="31" t="b">
        <v>1</v>
      </c>
      <c r="H54" s="31" t="b">
        <v>0</v>
      </c>
      <c r="I54" s="31"/>
      <c r="J54" s="28"/>
      <c r="K54" s="48" t="s">
        <v>181</v>
      </c>
      <c r="L54" s="31" t="s">
        <v>67</v>
      </c>
      <c r="M54" s="32">
        <v>1620.0</v>
      </c>
      <c r="N54" s="31"/>
      <c r="O54" s="31"/>
      <c r="P54" s="31"/>
      <c r="Q54" s="31"/>
      <c r="S54" s="48"/>
      <c r="T54" s="49"/>
      <c r="U54" s="32"/>
      <c r="V54" s="31"/>
      <c r="W54" s="40"/>
      <c r="X54" s="40"/>
      <c r="Y54" s="34"/>
      <c r="Z54" s="28"/>
    </row>
    <row r="55">
      <c r="B55" s="28"/>
      <c r="C55" s="30" t="s">
        <v>182</v>
      </c>
      <c r="D55" s="31" t="s">
        <v>124</v>
      </c>
      <c r="E55" s="32">
        <v>1610.0</v>
      </c>
      <c r="F55" s="31" t="b">
        <v>0</v>
      </c>
      <c r="G55" s="31" t="b">
        <v>1</v>
      </c>
      <c r="H55" s="31" t="b">
        <v>0</v>
      </c>
      <c r="I55" s="31"/>
      <c r="J55" s="28"/>
      <c r="K55" s="48" t="s">
        <v>183</v>
      </c>
      <c r="L55" s="31" t="s">
        <v>67</v>
      </c>
      <c r="M55" s="32">
        <v>1620.0</v>
      </c>
      <c r="N55" s="31"/>
      <c r="O55" s="31"/>
      <c r="P55" s="31"/>
      <c r="Q55" s="31"/>
      <c r="S55" s="48"/>
      <c r="T55" s="49"/>
      <c r="U55" s="32"/>
      <c r="V55" s="31"/>
      <c r="W55" s="40"/>
      <c r="X55" s="40"/>
      <c r="Y55" s="34"/>
      <c r="Z55" s="28"/>
    </row>
    <row r="56">
      <c r="B56" s="28"/>
      <c r="C56" s="30" t="s">
        <v>184</v>
      </c>
      <c r="D56" s="31" t="s">
        <v>124</v>
      </c>
      <c r="E56" s="32">
        <v>1610.0</v>
      </c>
      <c r="F56" s="31" t="b">
        <v>0</v>
      </c>
      <c r="G56" s="31" t="b">
        <v>0</v>
      </c>
      <c r="H56" s="31" t="b">
        <v>0</v>
      </c>
      <c r="I56" s="31"/>
      <c r="J56" s="28"/>
      <c r="K56" s="48" t="s">
        <v>185</v>
      </c>
      <c r="L56" s="31" t="s">
        <v>67</v>
      </c>
      <c r="M56" s="32">
        <v>1600.0</v>
      </c>
      <c r="N56" s="31"/>
      <c r="O56" s="31"/>
      <c r="P56" s="31"/>
      <c r="Q56" s="31"/>
      <c r="S56" s="48"/>
      <c r="T56" s="49"/>
      <c r="U56" s="32"/>
      <c r="V56" s="31"/>
      <c r="W56" s="40"/>
      <c r="X56" s="40"/>
      <c r="Y56" s="35"/>
      <c r="Z56" s="28"/>
    </row>
    <row r="57">
      <c r="B57" s="51"/>
      <c r="C57" s="64" t="s">
        <v>186</v>
      </c>
      <c r="D57" s="39" t="s">
        <v>84</v>
      </c>
      <c r="E57" s="60">
        <v>1610.0</v>
      </c>
      <c r="F57" s="31" t="b">
        <v>0</v>
      </c>
      <c r="G57" s="31" t="b">
        <v>0</v>
      </c>
      <c r="H57" s="31" t="b">
        <v>0</v>
      </c>
      <c r="I57" s="39"/>
      <c r="J57" s="51"/>
      <c r="K57" s="52" t="s">
        <v>187</v>
      </c>
      <c r="L57" s="39" t="s">
        <v>73</v>
      </c>
      <c r="M57" s="60">
        <v>1600.0</v>
      </c>
      <c r="N57" s="31"/>
      <c r="O57" s="31"/>
      <c r="P57" s="31"/>
      <c r="Q57" s="39"/>
      <c r="R57" s="19"/>
      <c r="S57" s="52"/>
      <c r="T57" s="53"/>
      <c r="U57" s="54"/>
      <c r="V57" s="31"/>
      <c r="W57" s="40"/>
      <c r="X57" s="58"/>
      <c r="Y57" s="41"/>
      <c r="Z57" s="28"/>
    </row>
    <row r="58">
      <c r="B58" s="42" t="s">
        <v>51</v>
      </c>
      <c r="C58" s="43" t="s">
        <v>52</v>
      </c>
      <c r="D58" s="43" t="s">
        <v>53</v>
      </c>
      <c r="E58" s="44" t="s">
        <v>54</v>
      </c>
      <c r="F58" s="45" t="s">
        <v>55</v>
      </c>
      <c r="G58" s="45" t="s">
        <v>56</v>
      </c>
      <c r="H58" s="45" t="s">
        <v>57</v>
      </c>
      <c r="I58" s="24" t="s">
        <v>58</v>
      </c>
      <c r="J58" s="42" t="s">
        <v>51</v>
      </c>
      <c r="K58" s="43" t="s">
        <v>52</v>
      </c>
      <c r="L58" s="43" t="s">
        <v>53</v>
      </c>
      <c r="M58" s="44" t="s">
        <v>54</v>
      </c>
      <c r="N58" s="45" t="s">
        <v>55</v>
      </c>
      <c r="O58" s="45" t="s">
        <v>56</v>
      </c>
      <c r="P58" s="45" t="s">
        <v>57</v>
      </c>
      <c r="Q58" s="25" t="s">
        <v>58</v>
      </c>
      <c r="R58" s="46" t="s">
        <v>51</v>
      </c>
      <c r="S58" s="43" t="s">
        <v>52</v>
      </c>
      <c r="T58" s="43" t="s">
        <v>53</v>
      </c>
      <c r="U58" s="44" t="s">
        <v>54</v>
      </c>
      <c r="V58" s="45" t="s">
        <v>55</v>
      </c>
      <c r="W58" s="45" t="s">
        <v>56</v>
      </c>
      <c r="X58" s="24" t="s">
        <v>57</v>
      </c>
      <c r="Y58" s="27" t="s">
        <v>58</v>
      </c>
      <c r="Z58" s="28"/>
    </row>
    <row r="59">
      <c r="B59" s="31" t="s">
        <v>39</v>
      </c>
      <c r="C59" s="48"/>
      <c r="D59" s="31" t="s">
        <v>69</v>
      </c>
      <c r="E59" s="32">
        <v>1630.0</v>
      </c>
      <c r="F59" s="31"/>
      <c r="G59" s="31" t="b">
        <v>0</v>
      </c>
      <c r="H59" s="31" t="b">
        <v>1</v>
      </c>
      <c r="I59" s="31" t="b">
        <v>1</v>
      </c>
      <c r="J59" s="29" t="s">
        <v>46</v>
      </c>
      <c r="K59" s="48" t="s">
        <v>188</v>
      </c>
      <c r="L59" s="31" t="s">
        <v>95</v>
      </c>
      <c r="M59" s="32">
        <v>1655.0</v>
      </c>
      <c r="N59" s="31"/>
      <c r="O59" s="31"/>
      <c r="P59" s="31"/>
      <c r="Q59" s="31"/>
      <c r="R59" s="31" t="s">
        <v>49</v>
      </c>
      <c r="S59" s="48" t="s">
        <v>189</v>
      </c>
      <c r="T59" s="31" t="s">
        <v>97</v>
      </c>
      <c r="U59" s="32">
        <v>1630.0</v>
      </c>
      <c r="V59" s="31"/>
      <c r="W59" s="40"/>
      <c r="X59" s="31" t="b">
        <v>0</v>
      </c>
      <c r="Y59" s="31" t="b">
        <v>0</v>
      </c>
      <c r="Z59" s="28"/>
    </row>
    <row r="60">
      <c r="C60" s="48"/>
      <c r="D60" s="31" t="s">
        <v>69</v>
      </c>
      <c r="E60" s="32">
        <v>1620.0</v>
      </c>
      <c r="F60" s="31"/>
      <c r="G60" s="31" t="b">
        <v>0</v>
      </c>
      <c r="H60" s="31" t="b">
        <v>1</v>
      </c>
      <c r="I60" s="31" t="b">
        <v>1</v>
      </c>
      <c r="J60" s="28"/>
      <c r="K60" s="48" t="s">
        <v>190</v>
      </c>
      <c r="L60" s="31" t="s">
        <v>95</v>
      </c>
      <c r="M60" s="32">
        <v>1640.0</v>
      </c>
      <c r="N60" s="31"/>
      <c r="O60" s="31"/>
      <c r="P60" s="31"/>
      <c r="Q60" s="31"/>
      <c r="S60" s="48" t="s">
        <v>191</v>
      </c>
      <c r="T60" s="31" t="s">
        <v>63</v>
      </c>
      <c r="U60" s="32">
        <v>1640.0</v>
      </c>
      <c r="V60" s="31"/>
      <c r="W60" s="40"/>
      <c r="X60" s="31" t="b">
        <v>0</v>
      </c>
      <c r="Y60" s="31" t="b">
        <v>0</v>
      </c>
      <c r="Z60" s="28"/>
    </row>
    <row r="61">
      <c r="C61" s="48"/>
      <c r="D61" s="31" t="s">
        <v>73</v>
      </c>
      <c r="E61" s="32">
        <v>1630.0</v>
      </c>
      <c r="F61" s="31"/>
      <c r="G61" s="31" t="b">
        <v>0</v>
      </c>
      <c r="H61" s="31" t="b">
        <v>1</v>
      </c>
      <c r="I61" s="31" t="b">
        <v>1</v>
      </c>
      <c r="J61" s="28"/>
      <c r="K61" s="48" t="s">
        <v>192</v>
      </c>
      <c r="L61" s="31" t="s">
        <v>60</v>
      </c>
      <c r="M61" s="32">
        <v>1646.0</v>
      </c>
      <c r="N61" s="31"/>
      <c r="O61" s="31"/>
      <c r="P61" s="31"/>
      <c r="Q61" s="31"/>
      <c r="S61" s="48" t="s">
        <v>193</v>
      </c>
      <c r="T61" s="31" t="s">
        <v>124</v>
      </c>
      <c r="U61" s="32">
        <v>1630.0</v>
      </c>
      <c r="V61" s="31"/>
      <c r="W61" s="40"/>
      <c r="X61" s="31" t="b">
        <v>0</v>
      </c>
      <c r="Y61" s="31" t="b">
        <v>0</v>
      </c>
      <c r="Z61" s="28"/>
    </row>
    <row r="62">
      <c r="C62" s="48"/>
      <c r="D62" s="31" t="s">
        <v>194</v>
      </c>
      <c r="E62" s="32">
        <v>1630.0</v>
      </c>
      <c r="F62" s="31"/>
      <c r="G62" s="31" t="b">
        <v>0</v>
      </c>
      <c r="H62" s="31" t="b">
        <v>1</v>
      </c>
      <c r="I62" s="31" t="b">
        <v>1</v>
      </c>
      <c r="J62" s="28"/>
      <c r="K62" s="48" t="s">
        <v>195</v>
      </c>
      <c r="L62" s="31" t="s">
        <v>61</v>
      </c>
      <c r="M62" s="32">
        <v>1630.0</v>
      </c>
      <c r="N62" s="31"/>
      <c r="O62" s="31"/>
      <c r="P62" s="31"/>
      <c r="Q62" s="31"/>
      <c r="S62" s="65" t="s">
        <v>196</v>
      </c>
      <c r="T62" s="31" t="s">
        <v>194</v>
      </c>
      <c r="U62" s="32">
        <v>1630.0</v>
      </c>
      <c r="V62" s="31"/>
      <c r="W62" s="40"/>
      <c r="X62" s="31" t="b">
        <v>0</v>
      </c>
      <c r="Y62" s="31" t="b">
        <v>0</v>
      </c>
      <c r="Z62" s="28"/>
    </row>
    <row r="63">
      <c r="C63" s="48"/>
      <c r="D63" s="31" t="s">
        <v>112</v>
      </c>
      <c r="E63" s="32">
        <v>1610.0</v>
      </c>
      <c r="F63" s="31" t="b">
        <v>0</v>
      </c>
      <c r="G63" s="31" t="b">
        <v>0</v>
      </c>
      <c r="H63" s="31" t="b">
        <v>0</v>
      </c>
      <c r="I63" s="31"/>
      <c r="J63" s="28"/>
      <c r="K63" s="48" t="s">
        <v>197</v>
      </c>
      <c r="L63" s="31" t="s">
        <v>73</v>
      </c>
      <c r="M63" s="32">
        <v>1635.0</v>
      </c>
      <c r="N63" s="31"/>
      <c r="O63" s="31"/>
      <c r="P63" s="31"/>
      <c r="Q63" s="31"/>
      <c r="S63" s="48" t="s">
        <v>198</v>
      </c>
      <c r="T63" s="31" t="s">
        <v>65</v>
      </c>
      <c r="U63" s="32">
        <v>1630.0</v>
      </c>
      <c r="V63" s="31"/>
      <c r="W63" s="40"/>
      <c r="X63" s="31" t="b">
        <v>0</v>
      </c>
      <c r="Y63" s="31" t="b">
        <v>0</v>
      </c>
      <c r="Z63" s="28"/>
    </row>
    <row r="64">
      <c r="B64" s="19"/>
      <c r="C64" s="52"/>
      <c r="D64" s="39" t="s">
        <v>99</v>
      </c>
      <c r="E64" s="60">
        <v>1600.0</v>
      </c>
      <c r="F64" s="39" t="b">
        <v>0</v>
      </c>
      <c r="G64" s="39" t="b">
        <v>0</v>
      </c>
      <c r="H64" s="58"/>
      <c r="I64" s="39"/>
      <c r="J64" s="51"/>
      <c r="K64" s="52" t="s">
        <v>199</v>
      </c>
      <c r="L64" s="39" t="s">
        <v>69</v>
      </c>
      <c r="M64" s="60">
        <v>1640.0</v>
      </c>
      <c r="N64" s="39"/>
      <c r="O64" s="39"/>
      <c r="P64" s="39"/>
      <c r="Q64" s="39"/>
      <c r="R64" s="19"/>
      <c r="S64" s="52"/>
      <c r="T64" s="53"/>
      <c r="U64" s="54"/>
      <c r="V64" s="39"/>
      <c r="W64" s="58"/>
      <c r="X64" s="58"/>
      <c r="Y64" s="59"/>
      <c r="Z64" s="28"/>
    </row>
    <row r="65">
      <c r="C65" s="66"/>
      <c r="D65" s="66"/>
      <c r="E65" s="66"/>
      <c r="F65" s="66"/>
      <c r="G65" s="66"/>
      <c r="H65" s="66"/>
      <c r="I65" s="66"/>
      <c r="J65" s="66"/>
      <c r="K65" s="66"/>
      <c r="L65" s="66"/>
      <c r="M65" s="66"/>
      <c r="N65" s="66"/>
      <c r="O65" s="66"/>
      <c r="P65" s="66"/>
      <c r="Q65" s="66"/>
      <c r="R65" s="66"/>
      <c r="S65" s="66"/>
      <c r="T65" s="66"/>
      <c r="U65" s="66"/>
      <c r="V65" s="66"/>
      <c r="W65" s="66"/>
      <c r="X65" s="66"/>
      <c r="Y65" s="66"/>
      <c r="Z65" s="28"/>
    </row>
    <row r="66">
      <c r="B66" s="48"/>
      <c r="C66" s="48"/>
      <c r="D66" s="66"/>
      <c r="E66" s="66"/>
      <c r="F66" s="66"/>
      <c r="G66" s="66"/>
      <c r="H66" s="66"/>
      <c r="I66" s="66"/>
      <c r="J66" s="66"/>
      <c r="K66" s="66"/>
      <c r="L66" s="66"/>
      <c r="M66" s="66"/>
      <c r="N66" s="66"/>
      <c r="O66" s="66"/>
      <c r="P66" s="66"/>
      <c r="Q66" s="66"/>
      <c r="R66" s="66"/>
      <c r="S66" s="66"/>
      <c r="T66" s="66"/>
      <c r="U66" s="66"/>
      <c r="V66" s="66"/>
      <c r="W66" s="66"/>
      <c r="X66" s="66"/>
      <c r="Y66" s="66"/>
      <c r="Z66" s="28"/>
    </row>
    <row r="67">
      <c r="B67" s="48"/>
      <c r="C67" s="48"/>
      <c r="D67" s="66"/>
      <c r="E67" s="66"/>
      <c r="F67" s="66"/>
      <c r="G67" s="66"/>
      <c r="H67" s="66"/>
      <c r="I67" s="66"/>
      <c r="J67" s="66"/>
      <c r="K67" s="66"/>
      <c r="L67" s="66"/>
      <c r="M67" s="66"/>
      <c r="N67" s="66"/>
      <c r="O67" s="66"/>
      <c r="P67" s="66"/>
      <c r="Q67" s="66"/>
      <c r="R67" s="66"/>
      <c r="S67" s="66"/>
      <c r="T67" s="66"/>
      <c r="U67" s="66"/>
      <c r="V67" s="66"/>
      <c r="W67" s="66"/>
      <c r="X67" s="66"/>
      <c r="Y67" s="66"/>
      <c r="Z67" s="28"/>
    </row>
    <row r="68">
      <c r="B68" s="48"/>
      <c r="C68" s="48"/>
      <c r="D68" s="66"/>
      <c r="E68" s="66"/>
      <c r="F68" s="66"/>
      <c r="G68" s="66"/>
      <c r="H68" s="66"/>
      <c r="I68" s="66"/>
      <c r="J68" s="66"/>
      <c r="K68" s="66"/>
      <c r="L68" s="66"/>
      <c r="M68" s="66"/>
      <c r="N68" s="66"/>
      <c r="O68" s="66"/>
      <c r="P68" s="66"/>
      <c r="Q68" s="66"/>
      <c r="R68" s="66"/>
      <c r="S68" s="66"/>
      <c r="T68" s="66"/>
      <c r="U68" s="66"/>
      <c r="V68" s="66"/>
      <c r="W68" s="66"/>
      <c r="X68" s="66"/>
      <c r="Y68" s="66"/>
      <c r="Z68" s="28"/>
    </row>
    <row r="69">
      <c r="B69" s="48"/>
      <c r="C69" s="48"/>
      <c r="D69" s="66"/>
      <c r="E69" s="66"/>
      <c r="F69" s="66"/>
      <c r="G69" s="66"/>
      <c r="H69" s="66"/>
      <c r="I69" s="66"/>
      <c r="J69" s="66"/>
      <c r="K69" s="66"/>
      <c r="L69" s="66"/>
      <c r="M69" s="66"/>
      <c r="N69" s="66"/>
      <c r="O69" s="66"/>
      <c r="P69" s="66"/>
      <c r="Q69" s="66"/>
      <c r="R69" s="66"/>
      <c r="S69" s="66"/>
      <c r="T69" s="66"/>
      <c r="U69" s="66"/>
      <c r="V69" s="66"/>
      <c r="W69" s="66"/>
      <c r="X69" s="66"/>
      <c r="Y69" s="66"/>
      <c r="Z69" s="28"/>
    </row>
    <row r="70">
      <c r="B70" s="48"/>
      <c r="C70" s="48"/>
      <c r="D70" s="66"/>
      <c r="E70" s="66"/>
      <c r="F70" s="66"/>
      <c r="G70" s="66"/>
      <c r="H70" s="66"/>
      <c r="I70" s="66"/>
      <c r="J70" s="66"/>
      <c r="K70" s="66"/>
      <c r="L70" s="66"/>
      <c r="M70" s="66"/>
      <c r="N70" s="66"/>
      <c r="O70" s="66"/>
      <c r="P70" s="66"/>
      <c r="Q70" s="66"/>
      <c r="R70" s="66"/>
      <c r="S70" s="66"/>
      <c r="T70" s="66"/>
      <c r="U70" s="66"/>
      <c r="V70" s="66"/>
      <c r="W70" s="66"/>
      <c r="X70" s="66"/>
      <c r="Y70" s="66"/>
      <c r="Z70" s="28"/>
    </row>
    <row r="71">
      <c r="B71" s="48"/>
      <c r="C71" s="48"/>
      <c r="D71" s="66"/>
      <c r="E71" s="66"/>
      <c r="F71" s="66"/>
      <c r="G71" s="66"/>
      <c r="H71" s="66"/>
      <c r="I71" s="66"/>
      <c r="J71" s="66"/>
      <c r="K71" s="66"/>
      <c r="L71" s="66"/>
      <c r="M71" s="66"/>
      <c r="N71" s="66"/>
      <c r="O71" s="66"/>
      <c r="P71" s="66"/>
      <c r="Q71" s="66"/>
      <c r="R71" s="66"/>
      <c r="S71" s="66"/>
      <c r="T71" s="66"/>
      <c r="U71" s="66"/>
      <c r="V71" s="66"/>
      <c r="W71" s="66"/>
      <c r="X71" s="66"/>
      <c r="Y71" s="66"/>
      <c r="Z71" s="28"/>
    </row>
    <row r="72">
      <c r="D72" s="66"/>
      <c r="E72" s="66"/>
      <c r="F72" s="66"/>
      <c r="G72" s="66"/>
      <c r="H72" s="66"/>
      <c r="I72" s="66"/>
      <c r="J72" s="66"/>
      <c r="K72" s="66"/>
      <c r="L72" s="66"/>
      <c r="M72" s="66"/>
      <c r="N72" s="66"/>
      <c r="O72" s="66"/>
      <c r="P72" s="66"/>
      <c r="Q72" s="66"/>
      <c r="R72" s="66"/>
      <c r="S72" s="66"/>
      <c r="T72" s="66"/>
      <c r="U72" s="66"/>
      <c r="V72" s="66"/>
      <c r="W72" s="66"/>
      <c r="X72" s="66"/>
      <c r="Y72" s="66"/>
      <c r="Z72" s="28"/>
    </row>
    <row r="73">
      <c r="C73" s="66"/>
      <c r="D73" s="66"/>
      <c r="E73" s="66"/>
      <c r="F73" s="66"/>
      <c r="G73" s="66"/>
      <c r="H73" s="66"/>
      <c r="I73" s="66"/>
      <c r="J73" s="66"/>
      <c r="K73" s="66"/>
      <c r="L73" s="66"/>
      <c r="M73" s="66"/>
      <c r="N73" s="66"/>
      <c r="O73" s="66"/>
      <c r="P73" s="66"/>
      <c r="Q73" s="66"/>
      <c r="R73" s="66"/>
      <c r="S73" s="66"/>
      <c r="T73" s="66"/>
      <c r="U73" s="66"/>
      <c r="V73" s="66"/>
      <c r="W73" s="66"/>
      <c r="X73" s="66"/>
      <c r="Y73" s="66"/>
      <c r="Z73" s="28"/>
    </row>
    <row r="74">
      <c r="B74" s="48"/>
      <c r="C74" s="48"/>
      <c r="D74" s="66"/>
      <c r="E74" s="66"/>
      <c r="F74" s="66"/>
      <c r="G74" s="66"/>
      <c r="H74" s="66"/>
      <c r="I74" s="66"/>
      <c r="J74" s="66"/>
      <c r="K74" s="66"/>
      <c r="L74" s="66"/>
      <c r="M74" s="66"/>
      <c r="N74" s="66"/>
      <c r="O74" s="66"/>
      <c r="P74" s="66"/>
      <c r="Q74" s="66"/>
      <c r="R74" s="66"/>
      <c r="S74" s="66"/>
      <c r="T74" s="66"/>
      <c r="U74" s="66"/>
      <c r="V74" s="66"/>
      <c r="W74" s="66"/>
      <c r="X74" s="66"/>
      <c r="Y74" s="66"/>
      <c r="Z74" s="28"/>
    </row>
    <row r="75">
      <c r="B75" s="48"/>
      <c r="C75" s="48"/>
      <c r="D75" s="66"/>
      <c r="E75" s="66"/>
      <c r="F75" s="66"/>
      <c r="G75" s="66"/>
      <c r="H75" s="66"/>
      <c r="I75" s="66"/>
      <c r="J75" s="66"/>
      <c r="K75" s="66"/>
      <c r="L75" s="66"/>
      <c r="M75" s="66"/>
      <c r="N75" s="66"/>
      <c r="O75" s="66"/>
      <c r="P75" s="66"/>
      <c r="Q75" s="66"/>
      <c r="R75" s="66"/>
      <c r="S75" s="66"/>
      <c r="T75" s="66"/>
      <c r="U75" s="66"/>
      <c r="V75" s="66"/>
      <c r="W75" s="66"/>
      <c r="X75" s="66"/>
      <c r="Y75" s="66"/>
      <c r="Z75" s="28"/>
    </row>
    <row r="76">
      <c r="B76" s="48"/>
      <c r="C76" s="48"/>
      <c r="D76" s="66"/>
      <c r="E76" s="66"/>
      <c r="F76" s="66"/>
      <c r="G76" s="66"/>
      <c r="H76" s="66"/>
      <c r="I76" s="66"/>
      <c r="J76" s="66"/>
      <c r="K76" s="66"/>
      <c r="L76" s="66"/>
      <c r="M76" s="66"/>
      <c r="N76" s="66"/>
      <c r="O76" s="66"/>
      <c r="P76" s="66"/>
      <c r="Q76" s="66"/>
      <c r="R76" s="66"/>
      <c r="S76" s="66"/>
      <c r="T76" s="66"/>
      <c r="U76" s="66"/>
      <c r="V76" s="66"/>
      <c r="W76" s="66"/>
      <c r="X76" s="66"/>
      <c r="Y76" s="66"/>
      <c r="Z76" s="28"/>
    </row>
    <row r="77">
      <c r="B77" s="48"/>
      <c r="C77" s="48"/>
      <c r="D77" s="66"/>
      <c r="E77" s="66"/>
      <c r="F77" s="66"/>
      <c r="G77" s="66"/>
      <c r="H77" s="66"/>
      <c r="I77" s="66"/>
      <c r="J77" s="66"/>
      <c r="K77" s="66"/>
      <c r="L77" s="66"/>
      <c r="M77" s="66"/>
      <c r="N77" s="66"/>
      <c r="O77" s="66"/>
      <c r="P77" s="66"/>
      <c r="Q77" s="66"/>
      <c r="R77" s="66"/>
      <c r="S77" s="66"/>
      <c r="T77" s="66"/>
      <c r="U77" s="66"/>
      <c r="V77" s="66"/>
      <c r="W77" s="66"/>
      <c r="X77" s="66"/>
      <c r="Y77" s="66"/>
      <c r="Z77" s="28"/>
    </row>
    <row r="78">
      <c r="B78" s="48"/>
      <c r="C78" s="48"/>
      <c r="D78" s="66"/>
      <c r="E78" s="66"/>
      <c r="F78" s="66"/>
      <c r="G78" s="66"/>
      <c r="H78" s="66"/>
      <c r="I78" s="66"/>
      <c r="J78" s="66"/>
      <c r="K78" s="66"/>
      <c r="L78" s="66"/>
      <c r="M78" s="66"/>
      <c r="N78" s="66"/>
      <c r="O78" s="66"/>
      <c r="P78" s="66"/>
      <c r="Q78" s="66"/>
      <c r="R78" s="66"/>
      <c r="S78" s="66"/>
      <c r="T78" s="66"/>
      <c r="U78" s="66"/>
      <c r="V78" s="66"/>
      <c r="W78" s="66"/>
      <c r="X78" s="66"/>
      <c r="Y78" s="66"/>
      <c r="Z78" s="28"/>
    </row>
    <row r="79">
      <c r="B79" s="48"/>
      <c r="C79" s="48"/>
      <c r="D79" s="66"/>
      <c r="E79" s="66"/>
      <c r="F79" s="66"/>
      <c r="G79" s="66"/>
      <c r="H79" s="66"/>
      <c r="I79" s="66"/>
      <c r="J79" s="66"/>
      <c r="K79" s="66"/>
      <c r="L79" s="66"/>
      <c r="M79" s="66"/>
      <c r="N79" s="66"/>
      <c r="O79" s="66"/>
      <c r="P79" s="66"/>
      <c r="Q79" s="66"/>
      <c r="R79" s="66"/>
      <c r="S79" s="66"/>
      <c r="T79" s="66"/>
      <c r="U79" s="66"/>
      <c r="V79" s="66"/>
      <c r="W79" s="66"/>
      <c r="X79" s="66"/>
      <c r="Y79" s="66"/>
      <c r="Z79" s="28"/>
    </row>
    <row r="80">
      <c r="C80" s="48"/>
      <c r="D80" s="66"/>
      <c r="E80" s="66"/>
      <c r="F80" s="66"/>
      <c r="G80" s="66"/>
      <c r="H80" s="66"/>
      <c r="I80" s="66"/>
      <c r="J80" s="66"/>
      <c r="K80" s="66"/>
      <c r="L80" s="66"/>
      <c r="M80" s="66"/>
      <c r="N80" s="66"/>
      <c r="O80" s="66"/>
      <c r="P80" s="66"/>
      <c r="Q80" s="66"/>
      <c r="R80" s="66"/>
      <c r="S80" s="66"/>
      <c r="T80" s="66"/>
      <c r="U80" s="66"/>
      <c r="V80" s="66"/>
      <c r="W80" s="66"/>
      <c r="X80" s="66"/>
      <c r="Y80" s="66"/>
      <c r="Z80" s="28"/>
    </row>
    <row r="81">
      <c r="B81" s="31" t="s">
        <v>17</v>
      </c>
      <c r="C81" s="47" t="s">
        <v>200</v>
      </c>
      <c r="D81" s="66"/>
      <c r="E81" s="66"/>
      <c r="F81" s="66"/>
      <c r="G81" s="66"/>
      <c r="H81" s="66"/>
      <c r="I81" s="66"/>
      <c r="J81" s="66"/>
      <c r="K81" s="66"/>
      <c r="L81" s="66"/>
      <c r="M81" s="66"/>
      <c r="N81" s="66"/>
      <c r="O81" s="66"/>
      <c r="P81" s="66"/>
      <c r="Q81" s="66"/>
      <c r="R81" s="66"/>
      <c r="S81" s="66"/>
      <c r="T81" s="66"/>
      <c r="U81" s="66"/>
      <c r="V81" s="66"/>
      <c r="W81" s="66"/>
      <c r="X81" s="66"/>
      <c r="Y81" s="66"/>
      <c r="Z81" s="28"/>
    </row>
    <row r="82">
      <c r="C82" s="47" t="s">
        <v>201</v>
      </c>
      <c r="D82" s="66"/>
      <c r="E82" s="66"/>
      <c r="F82" s="66"/>
      <c r="G82" s="66"/>
      <c r="H82" s="66"/>
      <c r="I82" s="66"/>
      <c r="J82" s="66"/>
      <c r="K82" s="66"/>
      <c r="L82" s="66"/>
      <c r="M82" s="66"/>
      <c r="N82" s="66"/>
      <c r="O82" s="66"/>
      <c r="P82" s="66"/>
      <c r="Q82" s="66"/>
      <c r="R82" s="66"/>
      <c r="S82" s="66"/>
      <c r="T82" s="66"/>
      <c r="U82" s="66"/>
      <c r="V82" s="66"/>
      <c r="W82" s="66"/>
      <c r="X82" s="66"/>
      <c r="Y82" s="66"/>
      <c r="Z82" s="28"/>
    </row>
    <row r="83">
      <c r="C83" s="47" t="s">
        <v>202</v>
      </c>
      <c r="D83" s="66"/>
      <c r="E83" s="66"/>
      <c r="F83" s="66"/>
      <c r="G83" s="66"/>
      <c r="H83" s="66"/>
      <c r="I83" s="66"/>
      <c r="J83" s="66"/>
      <c r="K83" s="66"/>
      <c r="L83" s="66"/>
      <c r="M83" s="66"/>
      <c r="N83" s="66"/>
      <c r="O83" s="66"/>
      <c r="P83" s="66"/>
      <c r="Q83" s="66"/>
      <c r="R83" s="66"/>
      <c r="S83" s="66"/>
      <c r="T83" s="66"/>
      <c r="U83" s="66"/>
      <c r="V83" s="66"/>
      <c r="W83" s="66"/>
      <c r="X83" s="66"/>
      <c r="Y83" s="66"/>
      <c r="Z83" s="28"/>
    </row>
    <row r="84">
      <c r="C84" s="47" t="s">
        <v>203</v>
      </c>
      <c r="D84" s="66"/>
      <c r="E84" s="66"/>
      <c r="F84" s="66"/>
      <c r="G84" s="66"/>
      <c r="H84" s="66"/>
      <c r="I84" s="66"/>
      <c r="J84" s="66"/>
      <c r="K84" s="66"/>
      <c r="L84" s="66"/>
      <c r="M84" s="66"/>
      <c r="N84" s="66"/>
      <c r="O84" s="66"/>
      <c r="P84" s="66"/>
      <c r="Q84" s="66"/>
      <c r="R84" s="66"/>
      <c r="S84" s="66"/>
      <c r="T84" s="66"/>
      <c r="U84" s="66"/>
      <c r="V84" s="66"/>
      <c r="W84" s="66"/>
      <c r="X84" s="66"/>
      <c r="Y84" s="66"/>
      <c r="Z84" s="28"/>
    </row>
    <row r="85">
      <c r="C85" s="47" t="s">
        <v>204</v>
      </c>
      <c r="D85" s="48"/>
      <c r="E85" s="66"/>
      <c r="F85" s="66"/>
      <c r="G85" s="66"/>
      <c r="H85" s="66"/>
      <c r="I85" s="66"/>
      <c r="J85" s="66"/>
      <c r="K85" s="66"/>
      <c r="L85" s="66"/>
      <c r="M85" s="66"/>
      <c r="N85" s="66"/>
      <c r="O85" s="66"/>
      <c r="P85" s="66"/>
      <c r="Q85" s="66"/>
      <c r="R85" s="66"/>
      <c r="S85" s="66"/>
      <c r="T85" s="66"/>
      <c r="U85" s="66"/>
      <c r="V85" s="66"/>
      <c r="W85" s="66"/>
      <c r="X85" s="66"/>
      <c r="Y85" s="66"/>
      <c r="Z85" s="28"/>
    </row>
    <row r="86">
      <c r="C86" s="47" t="s">
        <v>205</v>
      </c>
      <c r="D86" s="66"/>
      <c r="E86" s="66"/>
      <c r="F86" s="66"/>
      <c r="G86" s="66"/>
      <c r="H86" s="66"/>
      <c r="I86" s="66"/>
      <c r="J86" s="66"/>
      <c r="K86" s="66"/>
      <c r="L86" s="66"/>
      <c r="M86" s="66"/>
      <c r="N86" s="66"/>
      <c r="O86" s="66"/>
      <c r="P86" s="66"/>
      <c r="Q86" s="66"/>
      <c r="R86" s="66"/>
      <c r="S86" s="66"/>
      <c r="T86" s="66"/>
      <c r="U86" s="66"/>
      <c r="V86" s="66"/>
      <c r="W86" s="66"/>
      <c r="X86" s="66"/>
      <c r="Y86" s="66"/>
      <c r="Z86" s="28"/>
    </row>
    <row r="87">
      <c r="C87" s="47" t="s">
        <v>206</v>
      </c>
      <c r="D87" s="67"/>
      <c r="E87" s="66"/>
      <c r="F87" s="66"/>
      <c r="G87" s="66"/>
      <c r="H87" s="66"/>
      <c r="I87" s="66"/>
      <c r="J87" s="66"/>
      <c r="K87" s="66"/>
      <c r="L87" s="66"/>
      <c r="M87" s="66"/>
      <c r="N87" s="66"/>
      <c r="O87" s="66"/>
      <c r="P87" s="66"/>
      <c r="Q87" s="66"/>
      <c r="R87" s="66"/>
      <c r="S87" s="66"/>
      <c r="T87" s="66"/>
      <c r="U87" s="66"/>
      <c r="V87" s="66"/>
      <c r="W87" s="66"/>
      <c r="X87" s="66"/>
      <c r="Y87" s="66"/>
      <c r="Z87" s="28"/>
    </row>
    <row r="88">
      <c r="C88" s="47" t="s">
        <v>207</v>
      </c>
      <c r="D88" s="67" t="s">
        <v>208</v>
      </c>
      <c r="E88" s="66"/>
      <c r="F88" s="66"/>
      <c r="G88" s="66"/>
      <c r="H88" s="66"/>
      <c r="I88" s="66"/>
      <c r="J88" s="66"/>
      <c r="K88" s="66"/>
      <c r="L88" s="66"/>
      <c r="M88" s="66"/>
      <c r="N88" s="66"/>
      <c r="O88" s="66"/>
      <c r="P88" s="66"/>
      <c r="Q88" s="66"/>
      <c r="R88" s="66"/>
      <c r="S88" s="66"/>
      <c r="T88" s="66"/>
      <c r="U88" s="66"/>
      <c r="V88" s="66"/>
      <c r="W88" s="66"/>
      <c r="X88" s="66"/>
      <c r="Y88" s="66"/>
      <c r="Z88" s="28"/>
    </row>
    <row r="89">
      <c r="C89" s="47" t="s">
        <v>209</v>
      </c>
      <c r="D89" s="66"/>
      <c r="E89" s="66"/>
      <c r="F89" s="66"/>
      <c r="G89" s="66"/>
      <c r="H89" s="66"/>
      <c r="I89" s="66"/>
      <c r="J89" s="66"/>
      <c r="K89" s="66"/>
      <c r="L89" s="66"/>
      <c r="M89" s="66"/>
      <c r="N89" s="66"/>
      <c r="O89" s="66"/>
      <c r="P89" s="66"/>
      <c r="Q89" s="66"/>
      <c r="R89" s="66"/>
      <c r="S89" s="66"/>
      <c r="T89" s="66"/>
      <c r="U89" s="66"/>
      <c r="V89" s="66"/>
      <c r="W89" s="66"/>
      <c r="X89" s="66"/>
      <c r="Y89" s="66"/>
      <c r="Z89" s="28"/>
    </row>
    <row r="90">
      <c r="C90" s="66"/>
      <c r="D90" s="66"/>
      <c r="E90" s="66"/>
      <c r="F90" s="66"/>
      <c r="G90" s="66"/>
      <c r="H90" s="66"/>
      <c r="I90" s="66"/>
      <c r="J90" s="66"/>
      <c r="K90" s="66"/>
      <c r="L90" s="66"/>
      <c r="M90" s="66"/>
      <c r="N90" s="66"/>
      <c r="O90" s="66"/>
      <c r="P90" s="66"/>
      <c r="Q90" s="66"/>
      <c r="R90" s="66"/>
      <c r="S90" s="66"/>
      <c r="T90" s="66"/>
      <c r="U90" s="66"/>
      <c r="V90" s="66"/>
      <c r="W90" s="66"/>
      <c r="X90" s="66"/>
      <c r="Y90" s="66"/>
      <c r="Z90" s="28"/>
    </row>
    <row r="91">
      <c r="C91" s="66"/>
      <c r="D91" s="66"/>
      <c r="E91" s="66"/>
      <c r="F91" s="66"/>
      <c r="G91" s="66"/>
      <c r="H91" s="66"/>
      <c r="I91" s="66"/>
      <c r="J91" s="66"/>
      <c r="K91" s="66"/>
      <c r="L91" s="66"/>
      <c r="M91" s="66"/>
      <c r="N91" s="66"/>
      <c r="O91" s="66"/>
      <c r="P91" s="66"/>
      <c r="Q91" s="66"/>
      <c r="R91" s="66"/>
      <c r="S91" s="66"/>
      <c r="T91" s="66"/>
      <c r="U91" s="66"/>
      <c r="V91" s="66"/>
      <c r="W91" s="66"/>
      <c r="X91" s="66"/>
      <c r="Y91" s="66"/>
      <c r="Z91" s="28"/>
    </row>
    <row r="92">
      <c r="C92" s="66"/>
      <c r="D92" s="66"/>
      <c r="E92" s="66"/>
      <c r="F92" s="66"/>
      <c r="G92" s="66"/>
      <c r="H92" s="66"/>
      <c r="I92" s="66"/>
      <c r="J92" s="66"/>
      <c r="K92" s="66"/>
      <c r="L92" s="66"/>
      <c r="M92" s="66"/>
      <c r="N92" s="66"/>
      <c r="O92" s="66"/>
      <c r="P92" s="66"/>
      <c r="Q92" s="66"/>
      <c r="R92" s="66"/>
      <c r="S92" s="66"/>
      <c r="T92" s="66"/>
      <c r="U92" s="66"/>
      <c r="V92" s="66"/>
      <c r="W92" s="66"/>
      <c r="X92" s="66"/>
      <c r="Y92" s="66"/>
      <c r="Z92" s="28"/>
    </row>
    <row r="93">
      <c r="C93" s="66"/>
      <c r="D93" s="66"/>
      <c r="E93" s="66"/>
      <c r="F93" s="66"/>
      <c r="G93" s="66"/>
      <c r="H93" s="66"/>
      <c r="I93" s="66"/>
      <c r="J93" s="66"/>
      <c r="K93" s="66"/>
      <c r="L93" s="66"/>
      <c r="M93" s="66"/>
      <c r="N93" s="66"/>
      <c r="O93" s="66"/>
      <c r="P93" s="66"/>
      <c r="Q93" s="66"/>
      <c r="R93" s="66"/>
      <c r="S93" s="66"/>
      <c r="T93" s="66"/>
      <c r="U93" s="66"/>
      <c r="V93" s="66"/>
      <c r="W93" s="66"/>
      <c r="X93" s="66"/>
      <c r="Y93" s="66"/>
      <c r="Z93" s="28"/>
    </row>
    <row r="94">
      <c r="C94" s="66"/>
      <c r="D94" s="66"/>
      <c r="E94" s="66"/>
      <c r="F94" s="66"/>
      <c r="G94" s="66"/>
      <c r="H94" s="66"/>
      <c r="I94" s="66"/>
      <c r="J94" s="66"/>
      <c r="K94" s="66"/>
      <c r="L94" s="66"/>
      <c r="M94" s="66"/>
      <c r="N94" s="66"/>
      <c r="O94" s="66"/>
      <c r="P94" s="66"/>
      <c r="Q94" s="66"/>
      <c r="R94" s="66"/>
      <c r="S94" s="66"/>
      <c r="T94" s="66"/>
      <c r="U94" s="66"/>
      <c r="V94" s="66"/>
      <c r="W94" s="66"/>
      <c r="X94" s="66"/>
      <c r="Y94" s="66"/>
      <c r="Z94" s="28"/>
    </row>
    <row r="95">
      <c r="C95" s="66"/>
      <c r="D95" s="66"/>
      <c r="E95" s="66"/>
      <c r="F95" s="66"/>
      <c r="G95" s="66"/>
      <c r="H95" s="66"/>
      <c r="I95" s="66"/>
      <c r="J95" s="66"/>
      <c r="K95" s="66"/>
      <c r="L95" s="66"/>
      <c r="M95" s="66"/>
      <c r="N95" s="66"/>
      <c r="O95" s="66"/>
      <c r="P95" s="66"/>
      <c r="Q95" s="66"/>
      <c r="R95" s="66"/>
      <c r="S95" s="66"/>
      <c r="T95" s="66"/>
      <c r="U95" s="66"/>
      <c r="V95" s="66"/>
      <c r="W95" s="66"/>
      <c r="X95" s="66"/>
      <c r="Y95" s="66"/>
      <c r="Z95" s="28"/>
    </row>
    <row r="96">
      <c r="C96" s="66"/>
      <c r="D96" s="66"/>
      <c r="E96" s="66"/>
      <c r="F96" s="66"/>
      <c r="G96" s="66"/>
      <c r="H96" s="66"/>
      <c r="I96" s="66"/>
      <c r="J96" s="66"/>
      <c r="K96" s="66"/>
      <c r="L96" s="66"/>
      <c r="M96" s="66"/>
      <c r="N96" s="66"/>
      <c r="O96" s="66"/>
      <c r="P96" s="66"/>
      <c r="Q96" s="66"/>
      <c r="R96" s="66"/>
      <c r="S96" s="66"/>
      <c r="T96" s="66"/>
      <c r="U96" s="66"/>
      <c r="V96" s="66"/>
      <c r="W96" s="66"/>
      <c r="X96" s="66"/>
      <c r="Y96" s="66"/>
      <c r="Z96" s="28"/>
    </row>
    <row r="97">
      <c r="C97" s="66"/>
      <c r="D97" s="66"/>
      <c r="E97" s="66"/>
      <c r="F97" s="66"/>
      <c r="G97" s="66"/>
      <c r="H97" s="66"/>
      <c r="I97" s="66"/>
      <c r="J97" s="66"/>
      <c r="K97" s="66"/>
      <c r="L97" s="66"/>
      <c r="M97" s="66"/>
      <c r="N97" s="66"/>
      <c r="O97" s="66"/>
      <c r="P97" s="66"/>
      <c r="Q97" s="66"/>
      <c r="R97" s="66"/>
      <c r="S97" s="66"/>
      <c r="T97" s="66"/>
      <c r="U97" s="66"/>
      <c r="V97" s="66"/>
      <c r="W97" s="66"/>
      <c r="X97" s="66"/>
      <c r="Y97" s="66"/>
      <c r="Z97" s="28"/>
    </row>
    <row r="98">
      <c r="C98" s="66"/>
      <c r="D98" s="66"/>
      <c r="E98" s="66"/>
      <c r="F98" s="66"/>
      <c r="G98" s="66"/>
      <c r="H98" s="66"/>
      <c r="I98" s="66"/>
      <c r="J98" s="66"/>
      <c r="K98" s="66"/>
      <c r="L98" s="66"/>
      <c r="M98" s="66"/>
      <c r="N98" s="66"/>
      <c r="O98" s="66"/>
      <c r="P98" s="66"/>
      <c r="Q98" s="66"/>
      <c r="R98" s="66"/>
      <c r="S98" s="66"/>
      <c r="T98" s="66"/>
      <c r="U98" s="66"/>
      <c r="V98" s="66"/>
      <c r="W98" s="66"/>
      <c r="X98" s="66"/>
      <c r="Y98" s="66"/>
      <c r="Z98" s="28"/>
    </row>
    <row r="99">
      <c r="C99" s="66"/>
      <c r="D99" s="66"/>
      <c r="E99" s="66"/>
      <c r="F99" s="66"/>
      <c r="G99" s="66"/>
      <c r="H99" s="66"/>
      <c r="I99" s="66"/>
      <c r="J99" s="66"/>
      <c r="K99" s="66"/>
      <c r="L99" s="66"/>
      <c r="M99" s="66"/>
      <c r="N99" s="66"/>
      <c r="O99" s="66"/>
      <c r="P99" s="66"/>
      <c r="Q99" s="66"/>
      <c r="R99" s="66"/>
      <c r="S99" s="66"/>
      <c r="T99" s="66"/>
      <c r="U99" s="66"/>
      <c r="V99" s="66"/>
      <c r="W99" s="66"/>
      <c r="X99" s="66"/>
      <c r="Y99" s="66"/>
      <c r="Z99" s="28"/>
    </row>
    <row r="100">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28"/>
    </row>
    <row r="101">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28"/>
    </row>
    <row r="102">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28"/>
    </row>
    <row r="103">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28"/>
    </row>
    <row r="104">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28"/>
    </row>
    <row r="105">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28"/>
    </row>
    <row r="10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28"/>
    </row>
    <row r="107">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28"/>
    </row>
    <row r="108">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28"/>
    </row>
    <row r="109">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28"/>
    </row>
    <row r="110">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28"/>
    </row>
    <row r="111">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28"/>
    </row>
    <row r="112">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28"/>
    </row>
    <row r="113">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28"/>
    </row>
    <row r="114">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28"/>
    </row>
    <row r="115">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28"/>
    </row>
    <row r="11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28"/>
    </row>
    <row r="117">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28"/>
    </row>
    <row r="118">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28"/>
    </row>
    <row r="119">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28"/>
    </row>
    <row r="120">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28"/>
    </row>
    <row r="121">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28"/>
    </row>
    <row r="122">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28"/>
    </row>
    <row r="123">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28"/>
    </row>
    <row r="124">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28"/>
    </row>
    <row r="125">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28"/>
    </row>
    <row r="12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28"/>
    </row>
    <row r="127">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28"/>
    </row>
    <row r="128">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28"/>
    </row>
    <row r="129">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28"/>
    </row>
    <row r="130">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28"/>
    </row>
    <row r="131">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28"/>
    </row>
    <row r="132">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28"/>
    </row>
    <row r="133">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28"/>
    </row>
    <row r="134">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28"/>
    </row>
    <row r="135">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28"/>
    </row>
    <row r="13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28"/>
    </row>
    <row r="137">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28"/>
    </row>
    <row r="138">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28"/>
    </row>
    <row r="139">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28"/>
    </row>
    <row r="140">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28"/>
    </row>
    <row r="141">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28"/>
    </row>
    <row r="142">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28"/>
    </row>
    <row r="143">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28"/>
    </row>
    <row r="144">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28"/>
    </row>
    <row r="145">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28"/>
    </row>
    <row r="14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28"/>
    </row>
    <row r="147">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28"/>
    </row>
    <row r="148">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28"/>
    </row>
    <row r="149">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28"/>
    </row>
    <row r="150">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28"/>
    </row>
    <row r="151">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28"/>
    </row>
    <row r="152">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28"/>
    </row>
    <row r="153">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28"/>
    </row>
    <row r="154">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28"/>
    </row>
    <row r="155">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28"/>
    </row>
    <row r="15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28"/>
    </row>
    <row r="157">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28"/>
    </row>
    <row r="158">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28"/>
    </row>
    <row r="159">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28"/>
    </row>
    <row r="160">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28"/>
    </row>
    <row r="161">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28"/>
    </row>
    <row r="162">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28"/>
    </row>
    <row r="163">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28"/>
    </row>
    <row r="164">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28"/>
    </row>
    <row r="165">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28"/>
    </row>
    <row r="1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28"/>
    </row>
    <row r="167">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28"/>
    </row>
    <row r="168">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28"/>
    </row>
    <row r="169">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28"/>
    </row>
    <row r="170">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28"/>
    </row>
    <row r="171">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28"/>
    </row>
    <row r="172">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28"/>
    </row>
    <row r="173">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28"/>
    </row>
    <row r="174">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28"/>
    </row>
    <row r="175">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28"/>
    </row>
    <row r="17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28"/>
    </row>
    <row r="177">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28"/>
    </row>
    <row r="178">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28"/>
    </row>
    <row r="179">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28"/>
    </row>
    <row r="180">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28"/>
    </row>
    <row r="181">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28"/>
    </row>
    <row r="182">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28"/>
    </row>
    <row r="183">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28"/>
    </row>
    <row r="184">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28"/>
    </row>
    <row r="185">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28"/>
    </row>
    <row r="18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28"/>
    </row>
    <row r="187">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28"/>
    </row>
    <row r="188">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28"/>
    </row>
    <row r="189">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28"/>
    </row>
    <row r="190">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28"/>
    </row>
    <row r="191">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28"/>
    </row>
    <row r="192">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28"/>
    </row>
    <row r="193">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28"/>
    </row>
    <row r="194">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28"/>
    </row>
    <row r="195">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28"/>
    </row>
    <row r="19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28"/>
    </row>
    <row r="197">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28"/>
    </row>
    <row r="198">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28"/>
    </row>
    <row r="199">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28"/>
    </row>
    <row r="200">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28"/>
    </row>
    <row r="201">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28"/>
    </row>
    <row r="202">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28"/>
    </row>
    <row r="203">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28"/>
    </row>
    <row r="204">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28"/>
    </row>
    <row r="205">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28"/>
    </row>
    <row r="20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28"/>
    </row>
    <row r="207">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28"/>
    </row>
    <row r="208">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28"/>
    </row>
    <row r="209">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28"/>
    </row>
    <row r="210">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28"/>
    </row>
    <row r="211">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28"/>
    </row>
    <row r="212">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28"/>
    </row>
    <row r="213">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28"/>
    </row>
    <row r="214">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28"/>
    </row>
    <row r="215">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28"/>
    </row>
    <row r="21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28"/>
    </row>
    <row r="217">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28"/>
    </row>
    <row r="218">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28"/>
    </row>
    <row r="219">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28"/>
    </row>
    <row r="220">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28"/>
    </row>
    <row r="221">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28"/>
    </row>
    <row r="222">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28"/>
    </row>
    <row r="223">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28"/>
    </row>
    <row r="224">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28"/>
    </row>
    <row r="225">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28"/>
    </row>
    <row r="22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28"/>
    </row>
    <row r="227">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28"/>
    </row>
    <row r="228">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28"/>
    </row>
    <row r="229">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28"/>
    </row>
    <row r="230">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28"/>
    </row>
    <row r="231">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28"/>
    </row>
    <row r="232">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28"/>
    </row>
    <row r="233">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28"/>
    </row>
    <row r="234">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28"/>
    </row>
    <row r="235">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28"/>
    </row>
    <row r="23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28"/>
    </row>
    <row r="237">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28"/>
    </row>
    <row r="238">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28"/>
    </row>
    <row r="239">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28"/>
    </row>
    <row r="240">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28"/>
    </row>
    <row r="241">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28"/>
    </row>
    <row r="242">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28"/>
    </row>
    <row r="243">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28"/>
    </row>
    <row r="244">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28"/>
    </row>
    <row r="245">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28"/>
    </row>
    <row r="24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28"/>
    </row>
    <row r="247">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28"/>
    </row>
    <row r="248">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28"/>
    </row>
    <row r="249">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28"/>
    </row>
    <row r="250">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28"/>
    </row>
    <row r="251">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28"/>
    </row>
    <row r="252">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28"/>
    </row>
    <row r="253">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28"/>
    </row>
    <row r="254">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28"/>
    </row>
    <row r="255">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28"/>
    </row>
    <row r="25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28"/>
    </row>
    <row r="257">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28"/>
    </row>
    <row r="258">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28"/>
    </row>
    <row r="259">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28"/>
    </row>
    <row r="260">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28"/>
    </row>
    <row r="261">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28"/>
    </row>
    <row r="262">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28"/>
    </row>
    <row r="263">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28"/>
    </row>
    <row r="264">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28"/>
    </row>
    <row r="265">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28"/>
    </row>
    <row r="2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28"/>
    </row>
    <row r="267">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28"/>
    </row>
    <row r="268">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28"/>
    </row>
    <row r="269">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28"/>
    </row>
    <row r="270">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28"/>
    </row>
    <row r="271">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28"/>
    </row>
    <row r="272">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28"/>
    </row>
    <row r="273">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28"/>
    </row>
    <row r="274">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28"/>
    </row>
    <row r="275">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28"/>
    </row>
    <row r="27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28"/>
    </row>
    <row r="277">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28"/>
    </row>
    <row r="278">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28"/>
    </row>
    <row r="279">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28"/>
    </row>
    <row r="280">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28"/>
    </row>
    <row r="281">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28"/>
    </row>
    <row r="282">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28"/>
    </row>
    <row r="283">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28"/>
    </row>
    <row r="284">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28"/>
    </row>
    <row r="285">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28"/>
    </row>
    <row r="28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28"/>
    </row>
    <row r="287">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28"/>
    </row>
    <row r="288">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28"/>
    </row>
    <row r="289">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28"/>
    </row>
    <row r="290">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28"/>
    </row>
    <row r="291">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28"/>
    </row>
    <row r="292">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28"/>
    </row>
    <row r="293">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28"/>
    </row>
    <row r="294">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28"/>
    </row>
    <row r="295">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28"/>
    </row>
    <row r="29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28"/>
    </row>
    <row r="297">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28"/>
    </row>
    <row r="298">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28"/>
    </row>
    <row r="299">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28"/>
    </row>
    <row r="300">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28"/>
    </row>
    <row r="301">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28"/>
    </row>
    <row r="302">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28"/>
    </row>
    <row r="303">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28"/>
    </row>
    <row r="304">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28"/>
    </row>
    <row r="305">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28"/>
    </row>
    <row r="30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28"/>
    </row>
    <row r="307">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28"/>
    </row>
    <row r="308">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28"/>
    </row>
    <row r="309">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28"/>
    </row>
    <row r="310">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28"/>
    </row>
    <row r="311">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28"/>
    </row>
    <row r="312">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28"/>
    </row>
    <row r="313">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28"/>
    </row>
    <row r="314">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28"/>
    </row>
    <row r="315">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28"/>
    </row>
    <row r="31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28"/>
    </row>
    <row r="317">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28"/>
    </row>
    <row r="318">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28"/>
    </row>
    <row r="319">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28"/>
    </row>
    <row r="320">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28"/>
    </row>
    <row r="321">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28"/>
    </row>
    <row r="322">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28"/>
    </row>
    <row r="323">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28"/>
    </row>
    <row r="324">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28"/>
    </row>
    <row r="325">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28"/>
    </row>
    <row r="32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28"/>
    </row>
    <row r="327">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28"/>
    </row>
    <row r="328">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28"/>
    </row>
    <row r="329">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28"/>
    </row>
    <row r="330">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28"/>
    </row>
    <row r="331">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28"/>
    </row>
    <row r="332">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28"/>
    </row>
    <row r="333">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28"/>
    </row>
    <row r="334">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28"/>
    </row>
    <row r="335">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28"/>
    </row>
    <row r="33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28"/>
    </row>
    <row r="337">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28"/>
    </row>
    <row r="338">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28"/>
    </row>
    <row r="339">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28"/>
    </row>
    <row r="340">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28"/>
    </row>
    <row r="341">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28"/>
    </row>
    <row r="342">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28"/>
    </row>
    <row r="343">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28"/>
    </row>
    <row r="344">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28"/>
    </row>
    <row r="345">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28"/>
    </row>
    <row r="34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28"/>
    </row>
    <row r="347">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28"/>
    </row>
    <row r="348">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28"/>
    </row>
    <row r="349">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28"/>
    </row>
    <row r="350">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28"/>
    </row>
    <row r="351">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28"/>
    </row>
    <row r="352">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28"/>
    </row>
    <row r="353">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28"/>
    </row>
    <row r="354">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28"/>
    </row>
    <row r="355">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28"/>
    </row>
    <row r="35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28"/>
    </row>
    <row r="357">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28"/>
    </row>
    <row r="358">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28"/>
    </row>
    <row r="359">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28"/>
    </row>
    <row r="360">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28"/>
    </row>
    <row r="361">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28"/>
    </row>
    <row r="362">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28"/>
    </row>
    <row r="363">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28"/>
    </row>
    <row r="364">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28"/>
    </row>
    <row r="365">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28"/>
    </row>
    <row r="3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28"/>
    </row>
    <row r="367">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28"/>
    </row>
    <row r="368">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28"/>
    </row>
    <row r="369">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28"/>
    </row>
    <row r="370">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28"/>
    </row>
    <row r="371">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28"/>
    </row>
    <row r="372">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28"/>
    </row>
    <row r="373">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28"/>
    </row>
    <row r="374">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28"/>
    </row>
    <row r="375">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28"/>
    </row>
    <row r="37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28"/>
    </row>
    <row r="377">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28"/>
    </row>
    <row r="378">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28"/>
    </row>
    <row r="379">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28"/>
    </row>
    <row r="380">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28"/>
    </row>
    <row r="381">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28"/>
    </row>
    <row r="382">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28"/>
    </row>
    <row r="383">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28"/>
    </row>
    <row r="384">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28"/>
    </row>
    <row r="385">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28"/>
    </row>
    <row r="38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28"/>
    </row>
    <row r="387">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28"/>
    </row>
    <row r="388">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28"/>
    </row>
    <row r="389">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28"/>
    </row>
    <row r="390">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28"/>
    </row>
    <row r="391">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28"/>
    </row>
    <row r="392">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28"/>
    </row>
    <row r="393">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28"/>
    </row>
    <row r="394">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28"/>
    </row>
    <row r="395">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28"/>
    </row>
    <row r="39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28"/>
    </row>
    <row r="397">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28"/>
    </row>
    <row r="398">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28"/>
    </row>
    <row r="399">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28"/>
    </row>
    <row r="400">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28"/>
    </row>
    <row r="401">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28"/>
    </row>
    <row r="402">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28"/>
    </row>
    <row r="403">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28"/>
    </row>
    <row r="404">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28"/>
    </row>
    <row r="405">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28"/>
    </row>
    <row r="40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28"/>
    </row>
    <row r="407">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28"/>
    </row>
    <row r="408">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28"/>
    </row>
    <row r="409">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28"/>
    </row>
    <row r="410">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28"/>
    </row>
    <row r="411">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28"/>
    </row>
    <row r="412">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28"/>
    </row>
    <row r="413">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28"/>
    </row>
    <row r="414">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28"/>
    </row>
    <row r="415">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28"/>
    </row>
    <row r="41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28"/>
    </row>
    <row r="417">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28"/>
    </row>
    <row r="418">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28"/>
    </row>
    <row r="419">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28"/>
    </row>
    <row r="420">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28"/>
    </row>
    <row r="421">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28"/>
    </row>
    <row r="422">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28"/>
    </row>
    <row r="423">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28"/>
    </row>
    <row r="424">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28"/>
    </row>
    <row r="425">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28"/>
    </row>
    <row r="42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28"/>
    </row>
    <row r="427">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28"/>
    </row>
    <row r="428">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28"/>
    </row>
    <row r="429">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28"/>
    </row>
    <row r="430">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28"/>
    </row>
    <row r="431">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28"/>
    </row>
    <row r="432">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28"/>
    </row>
    <row r="433">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28"/>
    </row>
    <row r="434">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28"/>
    </row>
    <row r="435">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28"/>
    </row>
    <row r="43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28"/>
    </row>
    <row r="437">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28"/>
    </row>
    <row r="438">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28"/>
    </row>
    <row r="439">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28"/>
    </row>
    <row r="440">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28"/>
    </row>
    <row r="441">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28"/>
    </row>
    <row r="442">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28"/>
    </row>
    <row r="443">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28"/>
    </row>
    <row r="444">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28"/>
    </row>
    <row r="445">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28"/>
    </row>
    <row r="44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28"/>
    </row>
    <row r="447">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28"/>
    </row>
    <row r="448">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28"/>
    </row>
    <row r="449">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28"/>
    </row>
    <row r="450">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28"/>
    </row>
    <row r="451">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28"/>
    </row>
    <row r="452">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28"/>
    </row>
    <row r="453">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28"/>
    </row>
    <row r="454">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28"/>
    </row>
    <row r="455">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28"/>
    </row>
    <row r="45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28"/>
    </row>
    <row r="457">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28"/>
    </row>
    <row r="458">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28"/>
    </row>
    <row r="459">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28"/>
    </row>
    <row r="460">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28"/>
    </row>
    <row r="461">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28"/>
    </row>
    <row r="462">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28"/>
    </row>
    <row r="463">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28"/>
    </row>
    <row r="464">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28"/>
    </row>
    <row r="465">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28"/>
    </row>
    <row r="4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28"/>
    </row>
    <row r="467">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28"/>
    </row>
    <row r="468">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28"/>
    </row>
    <row r="469">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28"/>
    </row>
    <row r="470">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28"/>
    </row>
    <row r="471">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28"/>
    </row>
    <row r="472">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28"/>
    </row>
    <row r="473">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28"/>
    </row>
    <row r="474">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28"/>
    </row>
    <row r="475">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28"/>
    </row>
    <row r="47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28"/>
    </row>
    <row r="477">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28"/>
    </row>
    <row r="478">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28"/>
    </row>
    <row r="479">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28"/>
    </row>
    <row r="480">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28"/>
    </row>
    <row r="481">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28"/>
    </row>
    <row r="482">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28"/>
    </row>
    <row r="483">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28"/>
    </row>
    <row r="484">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28"/>
    </row>
    <row r="485">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28"/>
    </row>
    <row r="48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28"/>
    </row>
    <row r="487">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28"/>
    </row>
    <row r="488">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28"/>
    </row>
    <row r="489">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28"/>
    </row>
    <row r="490">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28"/>
    </row>
    <row r="491">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28"/>
    </row>
    <row r="492">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28"/>
    </row>
    <row r="493">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28"/>
    </row>
    <row r="494">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28"/>
    </row>
    <row r="495">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28"/>
    </row>
    <row r="49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28"/>
    </row>
    <row r="497">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28"/>
    </row>
    <row r="498">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28"/>
    </row>
    <row r="499">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28"/>
    </row>
    <row r="500">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28"/>
    </row>
    <row r="501">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28"/>
    </row>
    <row r="502">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28"/>
    </row>
    <row r="503">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28"/>
    </row>
    <row r="504">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28"/>
    </row>
    <row r="505">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28"/>
    </row>
    <row r="50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28"/>
    </row>
    <row r="507">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28"/>
    </row>
    <row r="508">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28"/>
    </row>
    <row r="509">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28"/>
    </row>
    <row r="510">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28"/>
    </row>
    <row r="511">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28"/>
    </row>
    <row r="512">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28"/>
    </row>
    <row r="513">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28"/>
    </row>
    <row r="514">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28"/>
    </row>
    <row r="515">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28"/>
    </row>
    <row r="51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28"/>
    </row>
    <row r="517">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28"/>
    </row>
    <row r="518">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28"/>
    </row>
    <row r="519">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28"/>
    </row>
    <row r="520">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28"/>
    </row>
    <row r="521">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28"/>
    </row>
    <row r="522">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28"/>
    </row>
    <row r="523">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28"/>
    </row>
    <row r="524">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28"/>
    </row>
    <row r="525">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28"/>
    </row>
    <row r="52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28"/>
    </row>
    <row r="527">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28"/>
    </row>
    <row r="528">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28"/>
    </row>
    <row r="529">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28"/>
    </row>
    <row r="530">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28"/>
    </row>
    <row r="531">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28"/>
    </row>
    <row r="532">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28"/>
    </row>
    <row r="533">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28"/>
    </row>
    <row r="534">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28"/>
    </row>
    <row r="535">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28"/>
    </row>
    <row r="53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28"/>
    </row>
    <row r="537">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28"/>
    </row>
    <row r="538">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28"/>
    </row>
    <row r="539">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28"/>
    </row>
    <row r="540">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28"/>
    </row>
    <row r="541">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28"/>
    </row>
    <row r="542">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28"/>
    </row>
    <row r="543">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28"/>
    </row>
    <row r="544">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28"/>
    </row>
    <row r="545">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28"/>
    </row>
    <row r="54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28"/>
    </row>
    <row r="547">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28"/>
    </row>
    <row r="548">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28"/>
    </row>
    <row r="549">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28"/>
    </row>
    <row r="550">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28"/>
    </row>
    <row r="551">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28"/>
    </row>
    <row r="552">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28"/>
    </row>
    <row r="553">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28"/>
    </row>
    <row r="554">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28"/>
    </row>
    <row r="555">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28"/>
    </row>
    <row r="55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28"/>
    </row>
    <row r="557">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28"/>
    </row>
    <row r="558">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28"/>
    </row>
    <row r="559">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28"/>
    </row>
    <row r="560">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28"/>
    </row>
    <row r="561">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28"/>
    </row>
    <row r="562">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28"/>
    </row>
    <row r="563">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28"/>
    </row>
    <row r="564">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28"/>
    </row>
    <row r="565">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28"/>
    </row>
    <row r="5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28"/>
    </row>
    <row r="567">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28"/>
    </row>
    <row r="568">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28"/>
    </row>
    <row r="569">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28"/>
    </row>
    <row r="570">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28"/>
    </row>
    <row r="571">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28"/>
    </row>
    <row r="572">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28"/>
    </row>
    <row r="573">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28"/>
    </row>
    <row r="574">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28"/>
    </row>
    <row r="575">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28"/>
    </row>
    <row r="57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28"/>
    </row>
    <row r="577">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28"/>
    </row>
    <row r="578">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28"/>
    </row>
    <row r="579">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28"/>
    </row>
    <row r="580">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28"/>
    </row>
    <row r="581">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28"/>
    </row>
    <row r="582">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28"/>
    </row>
    <row r="583">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28"/>
    </row>
    <row r="584">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28"/>
    </row>
    <row r="585">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28"/>
    </row>
    <row r="58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28"/>
    </row>
    <row r="587">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28"/>
    </row>
    <row r="588">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28"/>
    </row>
    <row r="589">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28"/>
    </row>
    <row r="590">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28"/>
    </row>
    <row r="591">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28"/>
    </row>
    <row r="592">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28"/>
    </row>
    <row r="593">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28"/>
    </row>
    <row r="594">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28"/>
    </row>
    <row r="595">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28"/>
    </row>
    <row r="59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28"/>
    </row>
    <row r="597">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28"/>
    </row>
    <row r="598">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28"/>
    </row>
    <row r="599">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28"/>
    </row>
    <row r="600">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28"/>
    </row>
    <row r="601">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28"/>
    </row>
    <row r="602">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28"/>
    </row>
    <row r="603">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28"/>
    </row>
    <row r="604">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28"/>
    </row>
    <row r="605">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28"/>
    </row>
    <row r="60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28"/>
    </row>
    <row r="607">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28"/>
    </row>
    <row r="608">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28"/>
    </row>
    <row r="609">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28"/>
    </row>
    <row r="610">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28"/>
    </row>
    <row r="611">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28"/>
    </row>
    <row r="612">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28"/>
    </row>
    <row r="613">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28"/>
    </row>
    <row r="614">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28"/>
    </row>
    <row r="615">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28"/>
    </row>
    <row r="61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28"/>
    </row>
    <row r="617">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28"/>
    </row>
    <row r="618">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28"/>
    </row>
    <row r="619">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28"/>
    </row>
    <row r="620">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28"/>
    </row>
    <row r="621">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28"/>
    </row>
    <row r="622">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28"/>
    </row>
    <row r="623">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28"/>
    </row>
    <row r="624">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28"/>
    </row>
    <row r="625">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28"/>
    </row>
    <row r="62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28"/>
    </row>
    <row r="627">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28"/>
    </row>
    <row r="628">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28"/>
    </row>
    <row r="629">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28"/>
    </row>
    <row r="630">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28"/>
    </row>
    <row r="631">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28"/>
    </row>
    <row r="632">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28"/>
    </row>
    <row r="633">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28"/>
    </row>
    <row r="634">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28"/>
    </row>
    <row r="635">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28"/>
    </row>
    <row r="63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28"/>
    </row>
    <row r="637">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28"/>
    </row>
    <row r="638">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28"/>
    </row>
    <row r="639">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28"/>
    </row>
    <row r="640">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28"/>
    </row>
    <row r="641">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28"/>
    </row>
    <row r="642">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28"/>
    </row>
    <row r="643">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28"/>
    </row>
    <row r="644">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28"/>
    </row>
    <row r="645">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28"/>
    </row>
    <row r="64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28"/>
    </row>
    <row r="647">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28"/>
    </row>
    <row r="648">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28"/>
    </row>
    <row r="649">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28"/>
    </row>
    <row r="650">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28"/>
    </row>
    <row r="651">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28"/>
    </row>
    <row r="652">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28"/>
    </row>
    <row r="653">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28"/>
    </row>
    <row r="654">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28"/>
    </row>
    <row r="655">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28"/>
    </row>
    <row r="65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28"/>
    </row>
    <row r="657">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28"/>
    </row>
    <row r="658">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28"/>
    </row>
    <row r="659">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28"/>
    </row>
    <row r="660">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28"/>
    </row>
    <row r="661">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28"/>
    </row>
    <row r="662">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28"/>
    </row>
    <row r="663">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28"/>
    </row>
    <row r="664">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28"/>
    </row>
    <row r="665">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28"/>
    </row>
    <row r="6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28"/>
    </row>
    <row r="667">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28"/>
    </row>
    <row r="668">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28"/>
    </row>
    <row r="669">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28"/>
    </row>
    <row r="670">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28"/>
    </row>
    <row r="671">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28"/>
    </row>
    <row r="672">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28"/>
    </row>
    <row r="673">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28"/>
    </row>
    <row r="674">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28"/>
    </row>
    <row r="675">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28"/>
    </row>
    <row r="67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28"/>
    </row>
    <row r="677">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28"/>
    </row>
    <row r="678">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28"/>
    </row>
    <row r="679">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28"/>
    </row>
    <row r="680">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28"/>
    </row>
    <row r="681">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28"/>
    </row>
    <row r="682">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28"/>
    </row>
    <row r="683">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28"/>
    </row>
    <row r="684">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28"/>
    </row>
    <row r="685">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28"/>
    </row>
    <row r="68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28"/>
    </row>
    <row r="687">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28"/>
    </row>
    <row r="688">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28"/>
    </row>
    <row r="689">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28"/>
    </row>
    <row r="690">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28"/>
    </row>
    <row r="691">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28"/>
    </row>
    <row r="692">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28"/>
    </row>
    <row r="693">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28"/>
    </row>
    <row r="694">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28"/>
    </row>
    <row r="695">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28"/>
    </row>
    <row r="69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28"/>
    </row>
    <row r="697">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28"/>
    </row>
    <row r="698">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28"/>
    </row>
    <row r="699">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28"/>
    </row>
    <row r="700">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28"/>
    </row>
    <row r="701">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28"/>
    </row>
    <row r="702">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28"/>
    </row>
    <row r="703">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28"/>
    </row>
    <row r="704">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28"/>
    </row>
    <row r="705">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28"/>
    </row>
    <row r="70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28"/>
    </row>
    <row r="707">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28"/>
    </row>
    <row r="708">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28"/>
    </row>
    <row r="709">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28"/>
    </row>
    <row r="710">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28"/>
    </row>
    <row r="711">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28"/>
    </row>
    <row r="712">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28"/>
    </row>
    <row r="713">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28"/>
    </row>
    <row r="714">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28"/>
    </row>
    <row r="715">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28"/>
    </row>
    <row r="71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28"/>
    </row>
    <row r="717">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28"/>
    </row>
    <row r="718">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28"/>
    </row>
    <row r="719">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28"/>
    </row>
    <row r="720">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28"/>
    </row>
    <row r="721">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28"/>
    </row>
    <row r="722">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28"/>
    </row>
    <row r="723">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28"/>
    </row>
    <row r="724">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28"/>
    </row>
    <row r="725">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28"/>
    </row>
    <row r="72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28"/>
    </row>
    <row r="727">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28"/>
    </row>
    <row r="728">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28"/>
    </row>
    <row r="729">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28"/>
    </row>
    <row r="730">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28"/>
    </row>
    <row r="731">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28"/>
    </row>
    <row r="732">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28"/>
    </row>
    <row r="733">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28"/>
    </row>
    <row r="734">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28"/>
    </row>
    <row r="735">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28"/>
    </row>
    <row r="73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28"/>
    </row>
    <row r="737">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28"/>
    </row>
    <row r="738">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28"/>
    </row>
    <row r="739">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28"/>
    </row>
    <row r="740">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28"/>
    </row>
    <row r="741">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28"/>
    </row>
    <row r="742">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28"/>
    </row>
    <row r="743">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28"/>
    </row>
    <row r="744">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28"/>
    </row>
    <row r="745">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28"/>
    </row>
    <row r="74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28"/>
    </row>
    <row r="747">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28"/>
    </row>
    <row r="748">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28"/>
    </row>
    <row r="749">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28"/>
    </row>
    <row r="750">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28"/>
    </row>
    <row r="751">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28"/>
    </row>
    <row r="752">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28"/>
    </row>
    <row r="753">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28"/>
    </row>
    <row r="754">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28"/>
    </row>
    <row r="755">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28"/>
    </row>
    <row r="75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28"/>
    </row>
    <row r="757">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28"/>
    </row>
    <row r="758">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28"/>
    </row>
    <row r="759">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28"/>
    </row>
    <row r="760">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28"/>
    </row>
    <row r="761">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28"/>
    </row>
    <row r="762">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28"/>
    </row>
    <row r="763">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28"/>
    </row>
    <row r="764">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28"/>
    </row>
    <row r="765">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28"/>
    </row>
    <row r="7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28"/>
    </row>
    <row r="767">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28"/>
    </row>
    <row r="768">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28"/>
    </row>
    <row r="769">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28"/>
    </row>
    <row r="770">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28"/>
    </row>
    <row r="771">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28"/>
    </row>
    <row r="772">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28"/>
    </row>
    <row r="773">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28"/>
    </row>
    <row r="774">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28"/>
    </row>
    <row r="775">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28"/>
    </row>
    <row r="77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28"/>
    </row>
    <row r="777">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28"/>
    </row>
    <row r="778">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28"/>
    </row>
    <row r="779">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28"/>
    </row>
    <row r="780">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28"/>
    </row>
    <row r="781">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28"/>
    </row>
    <row r="782">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28"/>
    </row>
    <row r="783">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28"/>
    </row>
    <row r="784">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28"/>
    </row>
    <row r="785">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28"/>
    </row>
    <row r="78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28"/>
    </row>
    <row r="787">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28"/>
    </row>
    <row r="788">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28"/>
    </row>
    <row r="789">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28"/>
    </row>
    <row r="790">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28"/>
    </row>
    <row r="791">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28"/>
    </row>
    <row r="792">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28"/>
    </row>
    <row r="793">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28"/>
    </row>
    <row r="794">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28"/>
    </row>
    <row r="795">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28"/>
    </row>
    <row r="79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28"/>
    </row>
    <row r="797">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28"/>
    </row>
    <row r="798">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28"/>
    </row>
    <row r="799">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28"/>
    </row>
    <row r="800">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28"/>
    </row>
    <row r="801">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28"/>
    </row>
    <row r="802">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28"/>
    </row>
    <row r="803">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28"/>
    </row>
    <row r="804">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28"/>
    </row>
    <row r="805">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28"/>
    </row>
    <row r="80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28"/>
    </row>
    <row r="807">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28"/>
    </row>
    <row r="808">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28"/>
    </row>
    <row r="809">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28"/>
    </row>
    <row r="810">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28"/>
    </row>
    <row r="811">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28"/>
    </row>
    <row r="812">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28"/>
    </row>
    <row r="813">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28"/>
    </row>
    <row r="814">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28"/>
    </row>
    <row r="815">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28"/>
    </row>
    <row r="81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28"/>
    </row>
    <row r="817">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28"/>
    </row>
    <row r="818">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28"/>
    </row>
    <row r="819">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28"/>
    </row>
    <row r="820">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28"/>
    </row>
    <row r="821">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28"/>
    </row>
    <row r="822">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28"/>
    </row>
    <row r="823">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28"/>
    </row>
    <row r="824">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28"/>
    </row>
    <row r="825">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28"/>
    </row>
    <row r="82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28"/>
    </row>
    <row r="827">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28"/>
    </row>
    <row r="828">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28"/>
    </row>
    <row r="829">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28"/>
    </row>
    <row r="830">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28"/>
    </row>
    <row r="831">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28"/>
    </row>
    <row r="832">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28"/>
    </row>
    <row r="833">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28"/>
    </row>
    <row r="834">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28"/>
    </row>
    <row r="835">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28"/>
    </row>
    <row r="83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28"/>
    </row>
    <row r="837">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28"/>
    </row>
    <row r="838">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28"/>
    </row>
    <row r="839">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28"/>
    </row>
    <row r="840">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28"/>
    </row>
    <row r="841">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28"/>
    </row>
    <row r="842">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28"/>
    </row>
    <row r="843">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28"/>
    </row>
    <row r="844">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28"/>
    </row>
    <row r="845">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28"/>
    </row>
    <row r="84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28"/>
    </row>
    <row r="847">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28"/>
    </row>
    <row r="848">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28"/>
    </row>
    <row r="849">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28"/>
    </row>
    <row r="850">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28"/>
    </row>
    <row r="851">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28"/>
    </row>
    <row r="852">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28"/>
    </row>
    <row r="853">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28"/>
    </row>
    <row r="854">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28"/>
    </row>
    <row r="855">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28"/>
    </row>
    <row r="85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28"/>
    </row>
    <row r="857">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28"/>
    </row>
    <row r="858">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28"/>
    </row>
    <row r="859">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28"/>
    </row>
    <row r="860">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28"/>
    </row>
    <row r="861">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28"/>
    </row>
    <row r="862">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28"/>
    </row>
    <row r="863">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28"/>
    </row>
    <row r="864">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28"/>
    </row>
    <row r="865">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28"/>
    </row>
    <row r="8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28"/>
    </row>
    <row r="867">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28"/>
    </row>
    <row r="868">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28"/>
    </row>
    <row r="869">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28"/>
    </row>
    <row r="870">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28"/>
    </row>
    <row r="871">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28"/>
    </row>
    <row r="872">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28"/>
    </row>
    <row r="873">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28"/>
    </row>
    <row r="874">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28"/>
    </row>
    <row r="875">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28"/>
    </row>
    <row r="87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28"/>
    </row>
    <row r="877">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28"/>
    </row>
    <row r="878">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28"/>
    </row>
    <row r="879">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28"/>
    </row>
    <row r="880">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28"/>
    </row>
    <row r="881">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28"/>
    </row>
    <row r="882">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28"/>
    </row>
    <row r="883">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28"/>
    </row>
    <row r="884">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28"/>
    </row>
    <row r="885">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28"/>
    </row>
    <row r="88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28"/>
    </row>
    <row r="887">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28"/>
    </row>
    <row r="888">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28"/>
    </row>
    <row r="889">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28"/>
    </row>
    <row r="890">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28"/>
    </row>
    <row r="891">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28"/>
    </row>
    <row r="892">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28"/>
    </row>
    <row r="893">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28"/>
    </row>
    <row r="894">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28"/>
    </row>
    <row r="895">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28"/>
    </row>
    <row r="89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28"/>
    </row>
    <row r="897">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28"/>
    </row>
    <row r="898">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28"/>
    </row>
    <row r="899">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28"/>
    </row>
    <row r="900">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28"/>
    </row>
    <row r="901">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28"/>
    </row>
    <row r="902">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28"/>
    </row>
    <row r="903">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28"/>
    </row>
    <row r="904">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28"/>
    </row>
    <row r="905">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28"/>
    </row>
    <row r="90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28"/>
    </row>
    <row r="907">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28"/>
    </row>
    <row r="908">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28"/>
    </row>
    <row r="909">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28"/>
    </row>
    <row r="910">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28"/>
    </row>
    <row r="911">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28"/>
    </row>
    <row r="912">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28"/>
    </row>
    <row r="913">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28"/>
    </row>
    <row r="914">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28"/>
    </row>
    <row r="915">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28"/>
    </row>
    <row r="91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28"/>
    </row>
    <row r="917">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28"/>
    </row>
    <row r="918">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28"/>
    </row>
    <row r="919">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28"/>
    </row>
    <row r="920">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28"/>
    </row>
    <row r="921">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28"/>
    </row>
    <row r="922">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28"/>
    </row>
    <row r="923">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28"/>
    </row>
    <row r="924">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28"/>
    </row>
    <row r="925">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28"/>
    </row>
    <row r="92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28"/>
    </row>
    <row r="927">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28"/>
    </row>
    <row r="928">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28"/>
    </row>
    <row r="929">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28"/>
    </row>
    <row r="930">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28"/>
    </row>
    <row r="931">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28"/>
    </row>
    <row r="932">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28"/>
    </row>
    <row r="933">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28"/>
    </row>
    <row r="934">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28"/>
    </row>
    <row r="935">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28"/>
    </row>
    <row r="93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28"/>
    </row>
    <row r="937">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28"/>
    </row>
    <row r="938">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28"/>
    </row>
    <row r="939">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28"/>
    </row>
    <row r="940">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28"/>
    </row>
    <row r="941">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28"/>
    </row>
    <row r="942">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28"/>
    </row>
    <row r="943">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28"/>
    </row>
    <row r="944">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28"/>
    </row>
    <row r="945">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28"/>
    </row>
    <row r="94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28"/>
    </row>
    <row r="947">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28"/>
    </row>
    <row r="948">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28"/>
    </row>
    <row r="949">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28"/>
    </row>
    <row r="950">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28"/>
    </row>
    <row r="951">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28"/>
    </row>
    <row r="952">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28"/>
    </row>
    <row r="953">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28"/>
    </row>
    <row r="954">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28"/>
    </row>
    <row r="955">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28"/>
    </row>
    <row r="95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28"/>
    </row>
    <row r="957">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28"/>
    </row>
    <row r="958">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28"/>
    </row>
    <row r="959">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28"/>
    </row>
    <row r="960">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28"/>
    </row>
    <row r="961">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28"/>
    </row>
    <row r="962">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28"/>
    </row>
    <row r="963">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28"/>
    </row>
    <row r="964">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28"/>
    </row>
    <row r="965">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28"/>
    </row>
    <row r="9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28"/>
    </row>
    <row r="967">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28"/>
    </row>
    <row r="968">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28"/>
    </row>
    <row r="969">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28"/>
    </row>
    <row r="970">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28"/>
    </row>
    <row r="971">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28"/>
    </row>
    <row r="972">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28"/>
    </row>
    <row r="973">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28"/>
    </row>
    <row r="974">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28"/>
    </row>
    <row r="975">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28"/>
    </row>
    <row r="97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28"/>
    </row>
    <row r="977">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28"/>
    </row>
    <row r="978">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28"/>
    </row>
    <row r="979">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28"/>
    </row>
    <row r="980">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28"/>
    </row>
    <row r="981">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28"/>
    </row>
    <row r="982">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28"/>
    </row>
    <row r="983">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28"/>
    </row>
    <row r="984">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28"/>
    </row>
    <row r="985">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28"/>
    </row>
    <row r="98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28"/>
    </row>
    <row r="987">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28"/>
    </row>
    <row r="988">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28"/>
    </row>
    <row r="989">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28"/>
    </row>
    <row r="990">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28"/>
    </row>
    <row r="991">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28"/>
    </row>
    <row r="992">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28"/>
    </row>
    <row r="993">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28"/>
    </row>
    <row r="994">
      <c r="A994" s="17"/>
      <c r="C994" s="66"/>
      <c r="D994" s="66"/>
      <c r="E994" s="66"/>
      <c r="F994" s="66"/>
      <c r="G994" s="66"/>
      <c r="H994" s="66"/>
      <c r="I994" s="66"/>
      <c r="J994" s="66"/>
      <c r="N994" s="68"/>
      <c r="O994" s="66"/>
      <c r="P994" s="66"/>
      <c r="Q994" s="66"/>
      <c r="R994" s="66"/>
      <c r="S994" s="66"/>
      <c r="T994" s="66"/>
      <c r="U994" s="66"/>
      <c r="V994" s="66"/>
      <c r="W994" s="66"/>
      <c r="X994" s="66"/>
      <c r="Y994" s="66"/>
      <c r="Z994" s="17"/>
    </row>
  </sheetData>
  <mergeCells count="31">
    <mergeCell ref="J38:J43"/>
    <mergeCell ref="J45:J50"/>
    <mergeCell ref="B45:B50"/>
    <mergeCell ref="B52:B57"/>
    <mergeCell ref="R45:R50"/>
    <mergeCell ref="R52:R57"/>
    <mergeCell ref="J52:J57"/>
    <mergeCell ref="J59:J64"/>
    <mergeCell ref="B59:B64"/>
    <mergeCell ref="B81:B86"/>
    <mergeCell ref="A1:A993"/>
    <mergeCell ref="B1:Y1"/>
    <mergeCell ref="Z1:Z993"/>
    <mergeCell ref="B3:B8"/>
    <mergeCell ref="J3:J8"/>
    <mergeCell ref="B10:B15"/>
    <mergeCell ref="R59:R64"/>
    <mergeCell ref="R3:R8"/>
    <mergeCell ref="R10:R15"/>
    <mergeCell ref="J10:J15"/>
    <mergeCell ref="J17:J22"/>
    <mergeCell ref="B17:B22"/>
    <mergeCell ref="B24:B29"/>
    <mergeCell ref="R17:R22"/>
    <mergeCell ref="R24:R29"/>
    <mergeCell ref="J24:J29"/>
    <mergeCell ref="J31:J36"/>
    <mergeCell ref="B31:B36"/>
    <mergeCell ref="B38:B43"/>
    <mergeCell ref="R31:R36"/>
    <mergeCell ref="R38:R43"/>
  </mergeCells>
  <dataValidations>
    <dataValidation type="list" allowBlank="1" showErrorMessage="1" sqref="B3 J3 R3 B10 J10 R10 B17 J17 R17 B24 J24 R24 B31 J31 R31 B38 J38 R38 B45 J45 R45 B52 J52 R52 B59 J59 R59 B81">
      <formula1>'暱稱'!$A$6:$A$101</formula1>
    </dataValidation>
    <dataValidation type="list" allowBlank="1" showErrorMessage="1" sqref="D3:D8 L3:L8 T3:T8 D10:D15 L10:L15 T10:T15 D17:D22 L17:L22 T17:T22 D24:D29 L24:L29 T24:T29 D31:D36 L31:L36 T31:T36 D38:D43 L38:L43 T38:T43 D45:D50 L45:L50 T45:T50 D52:D57 L52:L57 T52:T57 D59:D64 L59:L64 T59:T64">
      <formula1>"狂戰士,毀滅者,督軍,聖騎士,屠殺者,女巫,卡牌魔術師,吟遊詩人,召喚師,鬥士,格鬥大師,拳霸,氣功師,槍術士,拳剎,鷹眼,槍炮大師,惡魔獵手,神槍手,偵察士,刀鋒,半魔人,噬魂者,影殺者,畫家,氣象術士,幻獸師"</formula1>
    </dataValidation>
  </dataValidations>
  <hyperlinks>
    <hyperlink r:id="rId1" ref="K10"/>
    <hyperlink r:id="rId2" ref="K11"/>
    <hyperlink r:id="rId3" ref="K12"/>
    <hyperlink r:id="rId4" ref="K13"/>
    <hyperlink r:id="rId5" ref="K14"/>
    <hyperlink r:id="rId6" ref="K15"/>
    <hyperlink r:id="rId7" ref="C81"/>
    <hyperlink r:id="rId8" ref="C82"/>
    <hyperlink r:id="rId9" ref="C83"/>
    <hyperlink r:id="rId10" ref="C84"/>
    <hyperlink r:id="rId11" ref="C85"/>
    <hyperlink r:id="rId12" ref="C86"/>
    <hyperlink r:id="rId13" ref="C87"/>
    <hyperlink r:id="rId14" ref="C88"/>
    <hyperlink r:id="rId15" ref="C89"/>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4" max="5" width="19.5"/>
    <col customWidth="1" min="11" max="12" width="19.5"/>
    <col customWidth="1" min="18" max="19" width="19.5"/>
  </cols>
  <sheetData>
    <row r="1">
      <c r="A1" s="69"/>
      <c r="B1" s="70" t="s">
        <v>210</v>
      </c>
    </row>
    <row r="6">
      <c r="A6" s="71" t="b">
        <v>1</v>
      </c>
      <c r="B6" s="72" t="s">
        <v>211</v>
      </c>
      <c r="C6" s="73">
        <v>45995.0</v>
      </c>
      <c r="D6" s="74"/>
      <c r="E6" s="74"/>
      <c r="F6" s="75" t="s">
        <v>212</v>
      </c>
      <c r="G6" s="76"/>
      <c r="H6" s="71" t="b">
        <v>1</v>
      </c>
      <c r="I6" s="72" t="s">
        <v>211</v>
      </c>
      <c r="J6" s="73">
        <v>45997.0</v>
      </c>
      <c r="K6" s="74"/>
      <c r="L6" s="74"/>
      <c r="M6" s="75" t="s">
        <v>212</v>
      </c>
      <c r="N6" s="76"/>
      <c r="O6" s="71" t="b">
        <v>1</v>
      </c>
      <c r="P6" s="72" t="s">
        <v>211</v>
      </c>
      <c r="Q6" s="73">
        <v>45996.0</v>
      </c>
      <c r="R6" s="74"/>
      <c r="S6" s="74"/>
      <c r="T6" s="75" t="s">
        <v>212</v>
      </c>
      <c r="U6" s="76"/>
    </row>
    <row r="7">
      <c r="B7" s="77" t="s">
        <v>213</v>
      </c>
      <c r="C7" s="78" t="s">
        <v>214</v>
      </c>
      <c r="G7" s="79"/>
      <c r="I7" s="77" t="s">
        <v>213</v>
      </c>
      <c r="J7" s="80">
        <v>0.625</v>
      </c>
      <c r="N7" s="79"/>
      <c r="P7" s="77" t="s">
        <v>213</v>
      </c>
      <c r="Q7" s="80">
        <v>0.8333333333333334</v>
      </c>
      <c r="U7" s="79"/>
    </row>
    <row r="8">
      <c r="B8" s="81" t="s">
        <v>215</v>
      </c>
      <c r="C8" s="82" t="s">
        <v>216</v>
      </c>
      <c r="D8" s="82" t="s">
        <v>1</v>
      </c>
      <c r="E8" s="82" t="s">
        <v>53</v>
      </c>
      <c r="G8" s="79"/>
      <c r="I8" s="81" t="s">
        <v>215</v>
      </c>
      <c r="J8" s="82" t="s">
        <v>216</v>
      </c>
      <c r="K8" s="82" t="s">
        <v>1</v>
      </c>
      <c r="L8" s="82" t="s">
        <v>53</v>
      </c>
      <c r="N8" s="79"/>
      <c r="P8" s="81" t="s">
        <v>215</v>
      </c>
      <c r="Q8" s="82" t="s">
        <v>216</v>
      </c>
      <c r="R8" s="82" t="s">
        <v>1</v>
      </c>
      <c r="S8" s="82" t="s">
        <v>53</v>
      </c>
      <c r="U8" s="79"/>
    </row>
    <row r="9">
      <c r="B9" s="83" t="s">
        <v>217</v>
      </c>
      <c r="C9" s="49"/>
      <c r="D9" s="31" t="s">
        <v>29</v>
      </c>
      <c r="E9" s="31" t="s">
        <v>73</v>
      </c>
      <c r="F9" s="84"/>
      <c r="G9" s="79"/>
      <c r="I9" s="83" t="s">
        <v>217</v>
      </c>
      <c r="J9" s="49"/>
      <c r="K9" s="31" t="s">
        <v>31</v>
      </c>
      <c r="L9" s="31" t="s">
        <v>90</v>
      </c>
      <c r="M9" s="84"/>
      <c r="N9" s="79"/>
      <c r="P9" s="83" t="s">
        <v>217</v>
      </c>
      <c r="Q9" s="49"/>
      <c r="R9" s="31" t="s">
        <v>39</v>
      </c>
      <c r="S9" s="31" t="s">
        <v>124</v>
      </c>
      <c r="T9" s="84"/>
      <c r="U9" s="79"/>
    </row>
    <row r="10">
      <c r="B10" s="83" t="s">
        <v>217</v>
      </c>
      <c r="C10" s="49"/>
      <c r="D10" s="31" t="s">
        <v>26</v>
      </c>
      <c r="E10" s="31" t="s">
        <v>99</v>
      </c>
      <c r="F10" s="84"/>
      <c r="G10" s="79"/>
      <c r="I10" s="83" t="s">
        <v>217</v>
      </c>
      <c r="J10" s="49"/>
      <c r="K10" s="31" t="s">
        <v>25</v>
      </c>
      <c r="L10" s="31" t="s">
        <v>80</v>
      </c>
      <c r="M10" s="84"/>
      <c r="N10" s="79"/>
      <c r="P10" s="83" t="s">
        <v>217</v>
      </c>
      <c r="Q10" s="49"/>
      <c r="R10" s="31" t="s">
        <v>23</v>
      </c>
      <c r="S10" s="31" t="s">
        <v>112</v>
      </c>
      <c r="T10" s="84"/>
      <c r="U10" s="79"/>
    </row>
    <row r="11">
      <c r="B11" s="83" t="s">
        <v>217</v>
      </c>
      <c r="C11" s="49"/>
      <c r="D11" s="31" t="s">
        <v>17</v>
      </c>
      <c r="E11" s="31" t="s">
        <v>97</v>
      </c>
      <c r="F11" s="84"/>
      <c r="G11" s="79"/>
      <c r="I11" s="83" t="s">
        <v>217</v>
      </c>
      <c r="J11" s="49"/>
      <c r="K11" s="31" t="s">
        <v>19</v>
      </c>
      <c r="L11" s="31" t="s">
        <v>61</v>
      </c>
      <c r="M11" s="84"/>
      <c r="N11" s="79"/>
      <c r="P11" s="83" t="s">
        <v>217</v>
      </c>
      <c r="Q11" s="49"/>
      <c r="R11" s="31" t="s">
        <v>25</v>
      </c>
      <c r="S11" s="31" t="s">
        <v>151</v>
      </c>
      <c r="T11" s="84"/>
      <c r="U11" s="79"/>
    </row>
    <row r="12">
      <c r="B12" s="85" t="s">
        <v>218</v>
      </c>
      <c r="C12" s="86"/>
      <c r="D12" s="87"/>
      <c r="E12" s="87"/>
      <c r="F12" s="88"/>
      <c r="G12" s="89"/>
      <c r="I12" s="85" t="s">
        <v>218</v>
      </c>
      <c r="J12" s="86"/>
      <c r="K12" s="87" t="s">
        <v>17</v>
      </c>
      <c r="L12" s="87" t="s">
        <v>67</v>
      </c>
      <c r="M12" s="88"/>
      <c r="N12" s="89"/>
      <c r="P12" s="85" t="s">
        <v>218</v>
      </c>
      <c r="Q12" s="86"/>
      <c r="R12" s="87" t="s">
        <v>10</v>
      </c>
      <c r="S12" s="87" t="s">
        <v>65</v>
      </c>
      <c r="T12" s="88"/>
      <c r="U12" s="89"/>
    </row>
    <row r="14">
      <c r="A14" s="71" t="b">
        <v>0</v>
      </c>
      <c r="B14" s="72" t="s">
        <v>211</v>
      </c>
      <c r="C14" s="73"/>
      <c r="D14" s="74"/>
      <c r="E14" s="74"/>
      <c r="F14" s="75" t="s">
        <v>212</v>
      </c>
      <c r="G14" s="76"/>
      <c r="H14" s="71" t="b">
        <v>1</v>
      </c>
      <c r="I14" s="72" t="s">
        <v>211</v>
      </c>
      <c r="J14" s="73">
        <v>45997.0</v>
      </c>
      <c r="K14" s="74"/>
      <c r="L14" s="74"/>
      <c r="M14" s="75" t="s">
        <v>212</v>
      </c>
      <c r="N14" s="76"/>
      <c r="O14" s="71" t="b">
        <v>1</v>
      </c>
      <c r="P14" s="72" t="s">
        <v>211</v>
      </c>
      <c r="Q14" s="73">
        <v>45996.0</v>
      </c>
      <c r="R14" s="74"/>
      <c r="S14" s="74"/>
      <c r="T14" s="75" t="s">
        <v>212</v>
      </c>
      <c r="U14" s="76"/>
    </row>
    <row r="15">
      <c r="B15" s="77" t="s">
        <v>213</v>
      </c>
      <c r="C15" s="78"/>
      <c r="G15" s="79"/>
      <c r="I15" s="77" t="s">
        <v>213</v>
      </c>
      <c r="J15" s="78" t="s">
        <v>219</v>
      </c>
      <c r="N15" s="79"/>
      <c r="P15" s="77" t="s">
        <v>213</v>
      </c>
      <c r="Q15" s="78" t="s">
        <v>219</v>
      </c>
      <c r="U15" s="79"/>
    </row>
    <row r="16">
      <c r="B16" s="81" t="s">
        <v>215</v>
      </c>
      <c r="C16" s="82" t="s">
        <v>216</v>
      </c>
      <c r="D16" s="82" t="s">
        <v>1</v>
      </c>
      <c r="E16" s="82" t="s">
        <v>53</v>
      </c>
      <c r="G16" s="79"/>
      <c r="I16" s="81" t="s">
        <v>215</v>
      </c>
      <c r="J16" s="82" t="s">
        <v>216</v>
      </c>
      <c r="K16" s="82" t="s">
        <v>1</v>
      </c>
      <c r="L16" s="82" t="s">
        <v>53</v>
      </c>
      <c r="N16" s="79"/>
      <c r="P16" s="81" t="s">
        <v>215</v>
      </c>
      <c r="Q16" s="82" t="s">
        <v>216</v>
      </c>
      <c r="R16" s="82" t="s">
        <v>1</v>
      </c>
      <c r="S16" s="82" t="s">
        <v>53</v>
      </c>
      <c r="U16" s="79"/>
    </row>
    <row r="17">
      <c r="B17" s="83" t="s">
        <v>217</v>
      </c>
      <c r="C17" s="49"/>
      <c r="D17" s="31"/>
      <c r="E17" s="31"/>
      <c r="F17" s="84"/>
      <c r="G17" s="79"/>
      <c r="I17" s="83" t="s">
        <v>217</v>
      </c>
      <c r="J17" s="49"/>
      <c r="K17" s="31" t="s">
        <v>31</v>
      </c>
      <c r="L17" s="31" t="s">
        <v>69</v>
      </c>
      <c r="M17" s="84"/>
      <c r="N17" s="79"/>
      <c r="P17" s="83" t="s">
        <v>217</v>
      </c>
      <c r="Q17" s="49"/>
      <c r="R17" s="31" t="s">
        <v>39</v>
      </c>
      <c r="S17" s="31" t="s">
        <v>124</v>
      </c>
      <c r="T17" s="84"/>
      <c r="U17" s="79"/>
    </row>
    <row r="18">
      <c r="B18" s="83" t="s">
        <v>217</v>
      </c>
      <c r="C18" s="49"/>
      <c r="D18" s="31"/>
      <c r="E18" s="31"/>
      <c r="F18" s="84"/>
      <c r="G18" s="79"/>
      <c r="I18" s="83" t="s">
        <v>217</v>
      </c>
      <c r="J18" s="49"/>
      <c r="K18" s="31" t="s">
        <v>17</v>
      </c>
      <c r="L18" s="31" t="s">
        <v>90</v>
      </c>
      <c r="M18" s="84"/>
      <c r="N18" s="79"/>
      <c r="P18" s="83" t="s">
        <v>217</v>
      </c>
      <c r="Q18" s="49"/>
      <c r="R18" s="31" t="s">
        <v>23</v>
      </c>
      <c r="S18" s="31" t="s">
        <v>73</v>
      </c>
      <c r="T18" s="84"/>
      <c r="U18" s="79"/>
    </row>
    <row r="19">
      <c r="B19" s="83" t="s">
        <v>217</v>
      </c>
      <c r="C19" s="49"/>
      <c r="D19" s="31"/>
      <c r="E19" s="31"/>
      <c r="F19" s="84"/>
      <c r="G19" s="79"/>
      <c r="I19" s="83" t="s">
        <v>217</v>
      </c>
      <c r="J19" s="49"/>
      <c r="K19" s="31" t="s">
        <v>19</v>
      </c>
      <c r="L19" s="31" t="s">
        <v>73</v>
      </c>
      <c r="M19" s="84"/>
      <c r="N19" s="79"/>
      <c r="P19" s="83" t="s">
        <v>217</v>
      </c>
      <c r="Q19" s="49"/>
      <c r="R19" s="31"/>
      <c r="S19" s="31"/>
      <c r="T19" s="90" t="s">
        <v>220</v>
      </c>
      <c r="U19" s="79"/>
    </row>
    <row r="20">
      <c r="B20" s="85" t="s">
        <v>218</v>
      </c>
      <c r="C20" s="86"/>
      <c r="D20" s="87"/>
      <c r="E20" s="87"/>
      <c r="F20" s="88"/>
      <c r="G20" s="89"/>
      <c r="I20" s="85" t="s">
        <v>218</v>
      </c>
      <c r="J20" s="86"/>
      <c r="K20" s="87" t="s">
        <v>25</v>
      </c>
      <c r="L20" s="87" t="s">
        <v>65</v>
      </c>
      <c r="M20" s="88"/>
      <c r="N20" s="89"/>
      <c r="P20" s="85" t="s">
        <v>218</v>
      </c>
      <c r="Q20" s="86"/>
      <c r="R20" s="87" t="s">
        <v>10</v>
      </c>
      <c r="S20" s="87" t="s">
        <v>65</v>
      </c>
      <c r="T20" s="91" t="s">
        <v>221</v>
      </c>
      <c r="U20" s="89"/>
      <c r="V20" s="69" t="s">
        <v>222</v>
      </c>
    </row>
    <row r="21">
      <c r="B21" s="92"/>
      <c r="C21" s="92"/>
      <c r="D21" s="92"/>
      <c r="E21" s="92"/>
      <c r="F21" s="92"/>
      <c r="G21" s="92"/>
      <c r="I21" s="92"/>
      <c r="J21" s="92"/>
      <c r="K21" s="92"/>
      <c r="L21" s="92"/>
      <c r="M21" s="92"/>
      <c r="N21" s="92"/>
      <c r="P21" s="92"/>
      <c r="Q21" s="92"/>
      <c r="R21" s="92"/>
      <c r="S21" s="92"/>
      <c r="T21" s="92"/>
      <c r="U21" s="92"/>
    </row>
    <row r="22">
      <c r="A22" s="71" t="b">
        <v>0</v>
      </c>
      <c r="B22" s="72" t="s">
        <v>211</v>
      </c>
      <c r="C22" s="73"/>
      <c r="D22" s="74"/>
      <c r="E22" s="74"/>
      <c r="F22" s="75" t="s">
        <v>212</v>
      </c>
      <c r="G22" s="76"/>
      <c r="H22" s="71" t="b">
        <v>0</v>
      </c>
      <c r="I22" s="72" t="s">
        <v>211</v>
      </c>
      <c r="J22" s="73"/>
      <c r="K22" s="74"/>
      <c r="L22" s="74"/>
      <c r="M22" s="75" t="s">
        <v>212</v>
      </c>
      <c r="N22" s="76"/>
      <c r="O22" s="71" t="b">
        <v>1</v>
      </c>
      <c r="P22" s="72" t="s">
        <v>211</v>
      </c>
      <c r="Q22" s="73">
        <v>45996.0</v>
      </c>
      <c r="R22" s="74"/>
      <c r="S22" s="74"/>
      <c r="T22" s="75" t="s">
        <v>212</v>
      </c>
      <c r="U22" s="76"/>
    </row>
    <row r="23">
      <c r="B23" s="77" t="s">
        <v>213</v>
      </c>
      <c r="C23" s="78"/>
      <c r="G23" s="79"/>
      <c r="I23" s="77" t="s">
        <v>213</v>
      </c>
      <c r="J23" s="78"/>
      <c r="N23" s="79"/>
      <c r="P23" s="77" t="s">
        <v>213</v>
      </c>
      <c r="Q23" s="78" t="s">
        <v>219</v>
      </c>
      <c r="U23" s="79"/>
    </row>
    <row r="24">
      <c r="B24" s="81" t="s">
        <v>215</v>
      </c>
      <c r="C24" s="82" t="s">
        <v>216</v>
      </c>
      <c r="D24" s="82" t="s">
        <v>1</v>
      </c>
      <c r="E24" s="82" t="s">
        <v>53</v>
      </c>
      <c r="G24" s="79"/>
      <c r="I24" s="81" t="s">
        <v>215</v>
      </c>
      <c r="J24" s="82" t="s">
        <v>216</v>
      </c>
      <c r="K24" s="82" t="s">
        <v>1</v>
      </c>
      <c r="L24" s="82" t="s">
        <v>53</v>
      </c>
      <c r="N24" s="79"/>
      <c r="P24" s="81" t="s">
        <v>215</v>
      </c>
      <c r="Q24" s="82" t="s">
        <v>216</v>
      </c>
      <c r="R24" s="82" t="s">
        <v>1</v>
      </c>
      <c r="S24" s="82" t="s">
        <v>53</v>
      </c>
      <c r="U24" s="79"/>
    </row>
    <row r="25">
      <c r="B25" s="83" t="s">
        <v>217</v>
      </c>
      <c r="C25" s="49"/>
      <c r="D25" s="31"/>
      <c r="E25" s="31"/>
      <c r="F25" s="84"/>
      <c r="G25" s="79"/>
      <c r="I25" s="83" t="s">
        <v>217</v>
      </c>
      <c r="J25" s="49"/>
      <c r="K25" s="31"/>
      <c r="L25" s="49"/>
      <c r="M25" s="84"/>
      <c r="N25" s="79"/>
      <c r="P25" s="83" t="s">
        <v>217</v>
      </c>
      <c r="Q25" s="49"/>
      <c r="R25" s="31" t="s">
        <v>39</v>
      </c>
      <c r="S25" s="31" t="s">
        <v>124</v>
      </c>
      <c r="T25" s="84"/>
      <c r="U25" s="79"/>
    </row>
    <row r="26">
      <c r="B26" s="83" t="s">
        <v>217</v>
      </c>
      <c r="C26" s="49"/>
      <c r="D26" s="31"/>
      <c r="E26" s="31"/>
      <c r="F26" s="84"/>
      <c r="G26" s="79"/>
      <c r="I26" s="83" t="s">
        <v>217</v>
      </c>
      <c r="J26" s="49"/>
      <c r="K26" s="49"/>
      <c r="L26" s="49"/>
      <c r="M26" s="84"/>
      <c r="N26" s="79"/>
      <c r="P26" s="83" t="s">
        <v>217</v>
      </c>
      <c r="Q26" s="49"/>
      <c r="R26" s="31" t="s">
        <v>23</v>
      </c>
      <c r="S26" s="31" t="s">
        <v>69</v>
      </c>
      <c r="T26" s="84"/>
      <c r="U26" s="79"/>
    </row>
    <row r="27" ht="19.5" customHeight="1">
      <c r="B27" s="83" t="s">
        <v>217</v>
      </c>
      <c r="C27" s="49"/>
      <c r="D27" s="31"/>
      <c r="E27" s="31"/>
      <c r="F27" s="84"/>
      <c r="G27" s="79"/>
      <c r="I27" s="83" t="s">
        <v>217</v>
      </c>
      <c r="J27" s="49"/>
      <c r="K27" s="49"/>
      <c r="L27" s="49"/>
      <c r="M27" s="84"/>
      <c r="N27" s="79"/>
      <c r="P27" s="83" t="s">
        <v>217</v>
      </c>
      <c r="Q27" s="49"/>
      <c r="R27" s="31" t="s">
        <v>26</v>
      </c>
      <c r="S27" s="31" t="s">
        <v>73</v>
      </c>
      <c r="T27" s="84"/>
      <c r="U27" s="79"/>
    </row>
    <row r="28">
      <c r="B28" s="85" t="s">
        <v>218</v>
      </c>
      <c r="C28" s="86"/>
      <c r="D28" s="87"/>
      <c r="E28" s="87"/>
      <c r="F28" s="88"/>
      <c r="G28" s="89"/>
      <c r="I28" s="85" t="s">
        <v>218</v>
      </c>
      <c r="J28" s="86"/>
      <c r="K28" s="87"/>
      <c r="L28" s="87"/>
      <c r="M28" s="88"/>
      <c r="N28" s="89"/>
      <c r="P28" s="85" t="s">
        <v>218</v>
      </c>
      <c r="Q28" s="86"/>
      <c r="R28" s="87" t="s">
        <v>10</v>
      </c>
      <c r="S28" s="87" t="s">
        <v>65</v>
      </c>
      <c r="T28" s="88"/>
      <c r="U28" s="89"/>
    </row>
    <row r="30">
      <c r="A30" s="71" t="b">
        <v>0</v>
      </c>
      <c r="B30" s="72" t="s">
        <v>211</v>
      </c>
      <c r="C30" s="73"/>
      <c r="D30" s="74"/>
      <c r="E30" s="74"/>
      <c r="F30" s="75" t="s">
        <v>212</v>
      </c>
      <c r="G30" s="76"/>
      <c r="H30" s="71" t="b">
        <v>0</v>
      </c>
      <c r="I30" s="72" t="s">
        <v>211</v>
      </c>
      <c r="J30" s="73"/>
      <c r="K30" s="74"/>
      <c r="L30" s="74"/>
      <c r="M30" s="75" t="s">
        <v>212</v>
      </c>
      <c r="N30" s="76"/>
      <c r="O30" s="71" t="b">
        <v>1</v>
      </c>
      <c r="P30" s="72" t="s">
        <v>211</v>
      </c>
      <c r="Q30" s="73">
        <v>45996.0</v>
      </c>
      <c r="R30" s="74"/>
      <c r="S30" s="74"/>
      <c r="T30" s="75" t="s">
        <v>212</v>
      </c>
      <c r="U30" s="76"/>
    </row>
    <row r="31">
      <c r="B31" s="77" t="s">
        <v>213</v>
      </c>
      <c r="C31" s="78"/>
      <c r="G31" s="79"/>
      <c r="I31" s="77" t="s">
        <v>213</v>
      </c>
      <c r="J31" s="78"/>
      <c r="N31" s="79"/>
      <c r="P31" s="77" t="s">
        <v>213</v>
      </c>
      <c r="Q31" s="78" t="s">
        <v>223</v>
      </c>
      <c r="U31" s="79"/>
    </row>
    <row r="32">
      <c r="B32" s="81" t="s">
        <v>215</v>
      </c>
      <c r="C32" s="82" t="s">
        <v>216</v>
      </c>
      <c r="D32" s="82" t="s">
        <v>1</v>
      </c>
      <c r="E32" s="82" t="s">
        <v>53</v>
      </c>
      <c r="G32" s="79"/>
      <c r="I32" s="81" t="s">
        <v>215</v>
      </c>
      <c r="J32" s="82" t="s">
        <v>216</v>
      </c>
      <c r="K32" s="82" t="s">
        <v>1</v>
      </c>
      <c r="L32" s="82" t="s">
        <v>53</v>
      </c>
      <c r="N32" s="79"/>
      <c r="P32" s="81" t="s">
        <v>215</v>
      </c>
      <c r="Q32" s="82" t="s">
        <v>216</v>
      </c>
      <c r="R32" s="82" t="s">
        <v>1</v>
      </c>
      <c r="S32" s="82" t="s">
        <v>53</v>
      </c>
      <c r="U32" s="79"/>
    </row>
    <row r="33">
      <c r="B33" s="83" t="s">
        <v>217</v>
      </c>
      <c r="C33" s="49"/>
      <c r="D33" s="31"/>
      <c r="E33" s="49"/>
      <c r="F33" s="84"/>
      <c r="G33" s="79"/>
      <c r="I33" s="83" t="s">
        <v>217</v>
      </c>
      <c r="J33" s="49"/>
      <c r="K33" s="31"/>
      <c r="L33" s="49"/>
      <c r="M33" s="84"/>
      <c r="N33" s="79"/>
      <c r="P33" s="83" t="s">
        <v>217</v>
      </c>
      <c r="Q33" s="49"/>
      <c r="R33" s="31" t="s">
        <v>17</v>
      </c>
      <c r="S33" s="31" t="s">
        <v>90</v>
      </c>
      <c r="T33" s="84"/>
      <c r="U33" s="79"/>
    </row>
    <row r="34">
      <c r="B34" s="83" t="s">
        <v>217</v>
      </c>
      <c r="C34" s="49"/>
      <c r="D34" s="49"/>
      <c r="E34" s="49"/>
      <c r="F34" s="84"/>
      <c r="G34" s="79"/>
      <c r="I34" s="83" t="s">
        <v>217</v>
      </c>
      <c r="J34" s="49"/>
      <c r="K34" s="49"/>
      <c r="L34" s="49"/>
      <c r="M34" s="84"/>
      <c r="N34" s="79"/>
      <c r="P34" s="83" t="s">
        <v>217</v>
      </c>
      <c r="Q34" s="49"/>
      <c r="R34" s="31" t="s">
        <v>26</v>
      </c>
      <c r="S34" s="31" t="s">
        <v>84</v>
      </c>
      <c r="T34" s="84"/>
      <c r="U34" s="79"/>
    </row>
    <row r="35">
      <c r="B35" s="83" t="s">
        <v>217</v>
      </c>
      <c r="C35" s="49"/>
      <c r="D35" s="49"/>
      <c r="E35" s="49"/>
      <c r="F35" s="84"/>
      <c r="G35" s="79"/>
      <c r="I35" s="83" t="s">
        <v>217</v>
      </c>
      <c r="J35" s="49"/>
      <c r="K35" s="49"/>
      <c r="L35" s="49"/>
      <c r="M35" s="84"/>
      <c r="N35" s="79"/>
      <c r="P35" s="83" t="s">
        <v>217</v>
      </c>
      <c r="Q35" s="49"/>
      <c r="R35" s="31" t="s">
        <v>25</v>
      </c>
      <c r="S35" s="31" t="s">
        <v>69</v>
      </c>
      <c r="T35" s="84"/>
      <c r="U35" s="79"/>
    </row>
    <row r="36">
      <c r="B36" s="85" t="s">
        <v>218</v>
      </c>
      <c r="C36" s="86"/>
      <c r="D36" s="86"/>
      <c r="E36" s="86"/>
      <c r="F36" s="88"/>
      <c r="G36" s="89"/>
      <c r="I36" s="85" t="s">
        <v>218</v>
      </c>
      <c r="J36" s="86"/>
      <c r="K36" s="86"/>
      <c r="L36" s="86"/>
      <c r="M36" s="88"/>
      <c r="N36" s="89"/>
      <c r="P36" s="85" t="s">
        <v>218</v>
      </c>
      <c r="Q36" s="86"/>
      <c r="R36" s="87" t="s">
        <v>23</v>
      </c>
      <c r="S36" s="87" t="s">
        <v>67</v>
      </c>
      <c r="T36" s="88"/>
      <c r="U36" s="89"/>
    </row>
    <row r="37">
      <c r="B37" s="92"/>
      <c r="C37" s="92"/>
      <c r="D37" s="92"/>
      <c r="E37" s="92"/>
      <c r="F37" s="92"/>
      <c r="G37" s="92"/>
      <c r="I37" s="92"/>
      <c r="J37" s="92"/>
      <c r="K37" s="92"/>
      <c r="L37" s="92"/>
      <c r="M37" s="92"/>
      <c r="N37" s="92"/>
      <c r="P37" s="92"/>
      <c r="Q37" s="92"/>
      <c r="R37" s="92"/>
      <c r="S37" s="92"/>
      <c r="T37" s="92"/>
      <c r="U37" s="92"/>
    </row>
    <row r="38">
      <c r="A38" s="71" t="b">
        <v>0</v>
      </c>
      <c r="B38" s="72" t="s">
        <v>211</v>
      </c>
      <c r="C38" s="73"/>
      <c r="D38" s="74"/>
      <c r="E38" s="74"/>
      <c r="F38" s="75" t="s">
        <v>212</v>
      </c>
      <c r="G38" s="76"/>
      <c r="H38" s="71" t="b">
        <v>0</v>
      </c>
      <c r="I38" s="72" t="s">
        <v>211</v>
      </c>
      <c r="J38" s="73"/>
      <c r="K38" s="74"/>
      <c r="L38" s="74"/>
      <c r="M38" s="75" t="s">
        <v>212</v>
      </c>
      <c r="N38" s="76"/>
      <c r="O38" s="71" t="b">
        <v>0</v>
      </c>
      <c r="P38" s="72" t="s">
        <v>211</v>
      </c>
      <c r="Q38" s="73"/>
      <c r="R38" s="74"/>
      <c r="S38" s="74"/>
      <c r="T38" s="75" t="s">
        <v>212</v>
      </c>
      <c r="U38" s="76"/>
    </row>
    <row r="39">
      <c r="B39" s="77" t="s">
        <v>213</v>
      </c>
      <c r="C39" s="78"/>
      <c r="G39" s="79"/>
      <c r="I39" s="77" t="s">
        <v>213</v>
      </c>
      <c r="J39" s="78"/>
      <c r="N39" s="79"/>
      <c r="P39" s="77" t="s">
        <v>213</v>
      </c>
      <c r="Q39" s="78"/>
      <c r="U39" s="79"/>
    </row>
    <row r="40">
      <c r="B40" s="81" t="s">
        <v>215</v>
      </c>
      <c r="C40" s="82" t="s">
        <v>216</v>
      </c>
      <c r="D40" s="82" t="s">
        <v>1</v>
      </c>
      <c r="E40" s="82" t="s">
        <v>53</v>
      </c>
      <c r="G40" s="79"/>
      <c r="I40" s="81" t="s">
        <v>215</v>
      </c>
      <c r="J40" s="82" t="s">
        <v>216</v>
      </c>
      <c r="K40" s="82" t="s">
        <v>1</v>
      </c>
      <c r="L40" s="82" t="s">
        <v>53</v>
      </c>
      <c r="N40" s="79"/>
      <c r="P40" s="81" t="s">
        <v>215</v>
      </c>
      <c r="Q40" s="82" t="s">
        <v>216</v>
      </c>
      <c r="R40" s="82" t="s">
        <v>1</v>
      </c>
      <c r="S40" s="82" t="s">
        <v>53</v>
      </c>
      <c r="U40" s="79"/>
    </row>
    <row r="41">
      <c r="B41" s="83" t="s">
        <v>217</v>
      </c>
      <c r="C41" s="49"/>
      <c r="D41" s="31"/>
      <c r="E41" s="49"/>
      <c r="F41" s="84"/>
      <c r="G41" s="79"/>
      <c r="I41" s="83" t="s">
        <v>217</v>
      </c>
      <c r="J41" s="49"/>
      <c r="K41" s="31"/>
      <c r="L41" s="49"/>
      <c r="M41" s="84"/>
      <c r="N41" s="79"/>
      <c r="P41" s="83" t="s">
        <v>217</v>
      </c>
      <c r="Q41" s="49"/>
      <c r="R41" s="31"/>
      <c r="S41" s="49"/>
      <c r="T41" s="84"/>
      <c r="U41" s="79"/>
    </row>
    <row r="42">
      <c r="B42" s="83" t="s">
        <v>217</v>
      </c>
      <c r="C42" s="49"/>
      <c r="D42" s="49"/>
      <c r="E42" s="49"/>
      <c r="F42" s="84"/>
      <c r="G42" s="79"/>
      <c r="I42" s="83" t="s">
        <v>217</v>
      </c>
      <c r="J42" s="49"/>
      <c r="K42" s="49"/>
      <c r="L42" s="49"/>
      <c r="M42" s="84"/>
      <c r="N42" s="79"/>
      <c r="P42" s="83" t="s">
        <v>217</v>
      </c>
      <c r="Q42" s="49"/>
      <c r="R42" s="49"/>
      <c r="S42" s="49"/>
      <c r="T42" s="84"/>
      <c r="U42" s="79"/>
    </row>
    <row r="43">
      <c r="B43" s="83" t="s">
        <v>217</v>
      </c>
      <c r="C43" s="49"/>
      <c r="D43" s="49"/>
      <c r="E43" s="49"/>
      <c r="F43" s="84"/>
      <c r="G43" s="79"/>
      <c r="I43" s="83" t="s">
        <v>217</v>
      </c>
      <c r="J43" s="49"/>
      <c r="K43" s="49"/>
      <c r="L43" s="49"/>
      <c r="M43" s="84"/>
      <c r="N43" s="79"/>
      <c r="P43" s="83" t="s">
        <v>217</v>
      </c>
      <c r="Q43" s="49"/>
      <c r="R43" s="49"/>
      <c r="S43" s="49"/>
      <c r="T43" s="84"/>
      <c r="U43" s="79"/>
    </row>
    <row r="44">
      <c r="B44" s="85" t="s">
        <v>218</v>
      </c>
      <c r="C44" s="86"/>
      <c r="D44" s="87"/>
      <c r="E44" s="87"/>
      <c r="F44" s="88"/>
      <c r="G44" s="89"/>
      <c r="I44" s="85" t="s">
        <v>218</v>
      </c>
      <c r="J44" s="86"/>
      <c r="K44" s="86"/>
      <c r="L44" s="86"/>
      <c r="M44" s="88"/>
      <c r="N44" s="89"/>
      <c r="P44" s="85" t="s">
        <v>218</v>
      </c>
      <c r="Q44" s="86"/>
      <c r="R44" s="87"/>
      <c r="S44" s="87"/>
      <c r="T44" s="88"/>
      <c r="U44" s="89"/>
    </row>
    <row r="46">
      <c r="A46" s="71" t="b">
        <v>0</v>
      </c>
      <c r="B46" s="72" t="s">
        <v>211</v>
      </c>
      <c r="C46" s="73"/>
      <c r="D46" s="74"/>
      <c r="E46" s="74"/>
      <c r="F46" s="75" t="s">
        <v>212</v>
      </c>
      <c r="G46" s="76"/>
      <c r="H46" s="71" t="b">
        <v>0</v>
      </c>
      <c r="I46" s="72" t="s">
        <v>211</v>
      </c>
      <c r="J46" s="73"/>
      <c r="K46" s="74"/>
      <c r="L46" s="74"/>
      <c r="M46" s="75" t="s">
        <v>212</v>
      </c>
      <c r="N46" s="76"/>
      <c r="O46" s="71" t="b">
        <v>0</v>
      </c>
      <c r="P46" s="72" t="s">
        <v>211</v>
      </c>
      <c r="Q46" s="73"/>
      <c r="R46" s="74"/>
      <c r="S46" s="74"/>
      <c r="T46" s="75" t="s">
        <v>212</v>
      </c>
      <c r="U46" s="76"/>
    </row>
    <row r="47">
      <c r="B47" s="77" t="s">
        <v>213</v>
      </c>
      <c r="C47" s="78"/>
      <c r="G47" s="79"/>
      <c r="I47" s="77" t="s">
        <v>213</v>
      </c>
      <c r="J47" s="78"/>
      <c r="N47" s="79"/>
      <c r="P47" s="77" t="s">
        <v>213</v>
      </c>
      <c r="Q47" s="78"/>
      <c r="U47" s="79"/>
    </row>
    <row r="48">
      <c r="B48" s="81" t="s">
        <v>215</v>
      </c>
      <c r="C48" s="82" t="s">
        <v>216</v>
      </c>
      <c r="D48" s="82" t="s">
        <v>1</v>
      </c>
      <c r="E48" s="82" t="s">
        <v>53</v>
      </c>
      <c r="G48" s="79"/>
      <c r="I48" s="81" t="s">
        <v>215</v>
      </c>
      <c r="J48" s="82" t="s">
        <v>216</v>
      </c>
      <c r="K48" s="82" t="s">
        <v>1</v>
      </c>
      <c r="L48" s="82" t="s">
        <v>53</v>
      </c>
      <c r="N48" s="79"/>
      <c r="P48" s="81" t="s">
        <v>215</v>
      </c>
      <c r="Q48" s="82" t="s">
        <v>216</v>
      </c>
      <c r="R48" s="82" t="s">
        <v>1</v>
      </c>
      <c r="S48" s="82" t="s">
        <v>53</v>
      </c>
      <c r="U48" s="79"/>
    </row>
    <row r="49">
      <c r="B49" s="83" t="s">
        <v>217</v>
      </c>
      <c r="C49" s="49"/>
      <c r="D49" s="31"/>
      <c r="E49" s="49"/>
      <c r="F49" s="84"/>
      <c r="G49" s="79"/>
      <c r="I49" s="83" t="s">
        <v>217</v>
      </c>
      <c r="J49" s="49"/>
      <c r="K49" s="31"/>
      <c r="L49" s="49"/>
      <c r="M49" s="84"/>
      <c r="N49" s="79"/>
      <c r="P49" s="83" t="s">
        <v>217</v>
      </c>
      <c r="Q49" s="49"/>
      <c r="R49" s="31"/>
      <c r="S49" s="49"/>
      <c r="T49" s="84"/>
      <c r="U49" s="79"/>
    </row>
    <row r="50">
      <c r="B50" s="83" t="s">
        <v>217</v>
      </c>
      <c r="C50" s="49"/>
      <c r="D50" s="49"/>
      <c r="E50" s="49"/>
      <c r="F50" s="84"/>
      <c r="G50" s="79"/>
      <c r="I50" s="83" t="s">
        <v>217</v>
      </c>
      <c r="J50" s="49"/>
      <c r="K50" s="49"/>
      <c r="L50" s="49"/>
      <c r="M50" s="84"/>
      <c r="N50" s="79"/>
      <c r="P50" s="83" t="s">
        <v>217</v>
      </c>
      <c r="Q50" s="49"/>
      <c r="R50" s="49"/>
      <c r="S50" s="49"/>
      <c r="T50" s="84"/>
      <c r="U50" s="79"/>
    </row>
    <row r="51">
      <c r="B51" s="83" t="s">
        <v>217</v>
      </c>
      <c r="C51" s="49"/>
      <c r="D51" s="49"/>
      <c r="E51" s="49"/>
      <c r="F51" s="84"/>
      <c r="G51" s="79"/>
      <c r="I51" s="83" t="s">
        <v>217</v>
      </c>
      <c r="J51" s="49"/>
      <c r="K51" s="49"/>
      <c r="L51" s="49"/>
      <c r="M51" s="84"/>
      <c r="N51" s="79"/>
      <c r="P51" s="83" t="s">
        <v>217</v>
      </c>
      <c r="Q51" s="49"/>
      <c r="R51" s="49"/>
      <c r="S51" s="49"/>
      <c r="T51" s="84"/>
      <c r="U51" s="79"/>
    </row>
    <row r="52">
      <c r="B52" s="85" t="s">
        <v>218</v>
      </c>
      <c r="C52" s="86"/>
      <c r="D52" s="86"/>
      <c r="E52" s="86"/>
      <c r="F52" s="88"/>
      <c r="G52" s="89"/>
      <c r="I52" s="85" t="s">
        <v>218</v>
      </c>
      <c r="J52" s="86"/>
      <c r="K52" s="86"/>
      <c r="L52" s="86"/>
      <c r="M52" s="88"/>
      <c r="N52" s="89"/>
      <c r="P52" s="85" t="s">
        <v>218</v>
      </c>
      <c r="Q52" s="86"/>
      <c r="R52" s="86"/>
      <c r="S52" s="86"/>
      <c r="T52" s="88"/>
      <c r="U52" s="89"/>
    </row>
  </sheetData>
  <mergeCells count="127">
    <mergeCell ref="F6:G8"/>
    <mergeCell ref="F9:G9"/>
    <mergeCell ref="F10:G10"/>
    <mergeCell ref="F11:G11"/>
    <mergeCell ref="F12:G12"/>
    <mergeCell ref="C14:E14"/>
    <mergeCell ref="C15:E15"/>
    <mergeCell ref="F14:G16"/>
    <mergeCell ref="F17:G17"/>
    <mergeCell ref="F18:G18"/>
    <mergeCell ref="F19:G19"/>
    <mergeCell ref="F20:G20"/>
    <mergeCell ref="C22:E22"/>
    <mergeCell ref="C23:E23"/>
    <mergeCell ref="F26:G26"/>
    <mergeCell ref="F27:G27"/>
    <mergeCell ref="F28:G28"/>
    <mergeCell ref="C30:E30"/>
    <mergeCell ref="F30:G32"/>
    <mergeCell ref="C31:E31"/>
    <mergeCell ref="F33:G33"/>
    <mergeCell ref="F34:G34"/>
    <mergeCell ref="F35:G35"/>
    <mergeCell ref="F36:G36"/>
    <mergeCell ref="C38:E38"/>
    <mergeCell ref="F38:G40"/>
    <mergeCell ref="C39:E39"/>
    <mergeCell ref="F41:G41"/>
    <mergeCell ref="F50:G50"/>
    <mergeCell ref="F51:G51"/>
    <mergeCell ref="F52:G52"/>
    <mergeCell ref="F42:G42"/>
    <mergeCell ref="F43:G43"/>
    <mergeCell ref="F44:G44"/>
    <mergeCell ref="C46:E46"/>
    <mergeCell ref="F46:G48"/>
    <mergeCell ref="C47:E47"/>
    <mergeCell ref="F49:G49"/>
    <mergeCell ref="M17:N17"/>
    <mergeCell ref="M18:N18"/>
    <mergeCell ref="M19:N19"/>
    <mergeCell ref="M20:N20"/>
    <mergeCell ref="M22:N24"/>
    <mergeCell ref="M25:N25"/>
    <mergeCell ref="M26:N26"/>
    <mergeCell ref="M27:N27"/>
    <mergeCell ref="M28:N28"/>
    <mergeCell ref="M30:N32"/>
    <mergeCell ref="M33:N33"/>
    <mergeCell ref="M34:N34"/>
    <mergeCell ref="M35:N35"/>
    <mergeCell ref="M36:N36"/>
    <mergeCell ref="M50:N50"/>
    <mergeCell ref="M51:N51"/>
    <mergeCell ref="M52:N52"/>
    <mergeCell ref="M38:N40"/>
    <mergeCell ref="M41:N41"/>
    <mergeCell ref="M42:N42"/>
    <mergeCell ref="M43:N43"/>
    <mergeCell ref="M44:N44"/>
    <mergeCell ref="M46:N48"/>
    <mergeCell ref="M49:N49"/>
    <mergeCell ref="T25:U25"/>
    <mergeCell ref="T26:U26"/>
    <mergeCell ref="T27:U27"/>
    <mergeCell ref="T28:U28"/>
    <mergeCell ref="Q30:S30"/>
    <mergeCell ref="T30:U32"/>
    <mergeCell ref="Q31:S31"/>
    <mergeCell ref="T43:U43"/>
    <mergeCell ref="T44:U44"/>
    <mergeCell ref="T46:U48"/>
    <mergeCell ref="Q47:S47"/>
    <mergeCell ref="T49:U49"/>
    <mergeCell ref="T50:U50"/>
    <mergeCell ref="T51:U51"/>
    <mergeCell ref="T52:U52"/>
    <mergeCell ref="T33:U33"/>
    <mergeCell ref="T34:U34"/>
    <mergeCell ref="T35:U35"/>
    <mergeCell ref="T36:U36"/>
    <mergeCell ref="Q38:S38"/>
    <mergeCell ref="T38:U40"/>
    <mergeCell ref="Q39:S39"/>
    <mergeCell ref="B1:U4"/>
    <mergeCell ref="C6:E6"/>
    <mergeCell ref="M6:N8"/>
    <mergeCell ref="Q6:S6"/>
    <mergeCell ref="T6:U8"/>
    <mergeCell ref="C7:E7"/>
    <mergeCell ref="Q7:S7"/>
    <mergeCell ref="J6:L6"/>
    <mergeCell ref="J7:L7"/>
    <mergeCell ref="M9:N9"/>
    <mergeCell ref="M10:N10"/>
    <mergeCell ref="M11:N11"/>
    <mergeCell ref="M12:N12"/>
    <mergeCell ref="M14:N16"/>
    <mergeCell ref="T9:U9"/>
    <mergeCell ref="T10:U10"/>
    <mergeCell ref="T11:U11"/>
    <mergeCell ref="T12:U12"/>
    <mergeCell ref="Q14:S14"/>
    <mergeCell ref="T14:U16"/>
    <mergeCell ref="Q15:S15"/>
    <mergeCell ref="F22:G24"/>
    <mergeCell ref="F25:G25"/>
    <mergeCell ref="T17:U17"/>
    <mergeCell ref="T18:U18"/>
    <mergeCell ref="T19:U19"/>
    <mergeCell ref="T20:U20"/>
    <mergeCell ref="Q22:S22"/>
    <mergeCell ref="T22:U24"/>
    <mergeCell ref="Q23:S23"/>
    <mergeCell ref="T41:U41"/>
    <mergeCell ref="T42:U42"/>
    <mergeCell ref="Q46:S46"/>
    <mergeCell ref="J39:L39"/>
    <mergeCell ref="J46:L46"/>
    <mergeCell ref="J47:L47"/>
    <mergeCell ref="J14:L14"/>
    <mergeCell ref="J15:L15"/>
    <mergeCell ref="J22:L22"/>
    <mergeCell ref="J23:L23"/>
    <mergeCell ref="J30:L30"/>
    <mergeCell ref="J31:L31"/>
    <mergeCell ref="J38:L38"/>
  </mergeCells>
  <dataValidations>
    <dataValidation type="list" allowBlank="1" showErrorMessage="1" sqref="D9:D12 K9:K12 R9:R12 D17:D20 K17:K20 R17:R20 D25:D28 K25:K28 R25:R28 D33:D36 K33:K36 R33:R36 D41:D44 K41:K44 R41:R44 D49:D52 K49:K52 R49:R52">
      <formula1>'暱稱'!$A$6:$A$101</formula1>
    </dataValidation>
    <dataValidation type="list" allowBlank="1" showErrorMessage="1" sqref="E9:E12 L9:L12 S9:S12 E17:E20 L17:L20 S17:S20 E25:E28 L25:L28 S25:S28 E33:E36 L33:L36 S33:S36 E41:E44 L41:L44 S41:S44 E49:E52 L49:L52 S49:S52">
      <formula1>"狂戰士,毀滅者,督軍,聖騎士,屠殺者,女巫,卡牌魔術師,吟遊詩人,召喚師,鬥士,格鬥大師,拳霸,氣功師,槍術士,拳剎,鷹眼,槍炮大師,惡魔獵手,神槍手,偵察士,刀鋒,半魔人,噬魂者,影殺者,畫家,氣象術士,幻獸師"</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4" max="5" width="19.5"/>
    <col customWidth="1" min="11" max="12" width="19.5"/>
    <col customWidth="1" min="18" max="19" width="19.5"/>
  </cols>
  <sheetData>
    <row r="1">
      <c r="A1" s="71" t="s">
        <v>224</v>
      </c>
      <c r="B1" s="93" t="s">
        <v>225</v>
      </c>
    </row>
    <row r="2">
      <c r="A2" s="92"/>
    </row>
    <row r="3">
      <c r="A3" s="92"/>
    </row>
    <row r="4">
      <c r="A4" s="92"/>
    </row>
    <row r="5" ht="18.0" customHeight="1"/>
    <row r="6" ht="18.75" customHeight="1">
      <c r="A6" s="71" t="b">
        <v>1</v>
      </c>
      <c r="B6" s="72" t="s">
        <v>211</v>
      </c>
      <c r="C6" s="73">
        <v>45997.0</v>
      </c>
      <c r="D6" s="74"/>
      <c r="E6" s="74"/>
      <c r="F6" s="75" t="s">
        <v>212</v>
      </c>
      <c r="G6" s="76"/>
      <c r="H6" s="71" t="b">
        <v>1</v>
      </c>
      <c r="I6" s="72" t="s">
        <v>211</v>
      </c>
      <c r="J6" s="73">
        <v>45995.0</v>
      </c>
      <c r="K6" s="74"/>
      <c r="L6" s="74"/>
      <c r="M6" s="75" t="s">
        <v>212</v>
      </c>
      <c r="N6" s="76"/>
      <c r="O6" s="71" t="b">
        <v>0</v>
      </c>
      <c r="P6" s="72" t="s">
        <v>211</v>
      </c>
      <c r="Q6" s="73"/>
      <c r="R6" s="74"/>
      <c r="S6" s="74"/>
      <c r="T6" s="75" t="s">
        <v>212</v>
      </c>
      <c r="U6" s="76"/>
    </row>
    <row r="7" ht="18.75" customHeight="1">
      <c r="A7" s="92"/>
      <c r="B7" s="77" t="s">
        <v>213</v>
      </c>
      <c r="C7" s="80">
        <v>0.8333333333333334</v>
      </c>
      <c r="G7" s="79"/>
      <c r="H7" s="92"/>
      <c r="I7" s="77" t="s">
        <v>213</v>
      </c>
      <c r="J7" s="78" t="s">
        <v>226</v>
      </c>
      <c r="N7" s="79"/>
      <c r="O7" s="92"/>
      <c r="P7" s="77" t="s">
        <v>213</v>
      </c>
      <c r="Q7" s="78"/>
      <c r="U7" s="79"/>
    </row>
    <row r="8">
      <c r="A8" s="92"/>
      <c r="B8" s="81" t="s">
        <v>215</v>
      </c>
      <c r="C8" s="82" t="s">
        <v>216</v>
      </c>
      <c r="D8" s="82" t="s">
        <v>1</v>
      </c>
      <c r="E8" s="82" t="s">
        <v>53</v>
      </c>
      <c r="G8" s="79"/>
      <c r="H8" s="92"/>
      <c r="I8" s="81" t="s">
        <v>215</v>
      </c>
      <c r="J8" s="82" t="s">
        <v>216</v>
      </c>
      <c r="K8" s="82" t="s">
        <v>1</v>
      </c>
      <c r="L8" s="82" t="s">
        <v>53</v>
      </c>
      <c r="N8" s="79"/>
      <c r="O8" s="92"/>
      <c r="P8" s="81" t="s">
        <v>215</v>
      </c>
      <c r="Q8" s="82" t="s">
        <v>216</v>
      </c>
      <c r="R8" s="82" t="s">
        <v>1</v>
      </c>
      <c r="S8" s="82" t="s">
        <v>53</v>
      </c>
      <c r="U8" s="79"/>
    </row>
    <row r="9">
      <c r="A9" s="92"/>
      <c r="B9" s="83" t="s">
        <v>217</v>
      </c>
      <c r="C9" s="31"/>
      <c r="D9" s="31" t="s">
        <v>31</v>
      </c>
      <c r="E9" s="31" t="s">
        <v>90</v>
      </c>
      <c r="F9" s="90"/>
      <c r="G9" s="79"/>
      <c r="H9" s="92"/>
      <c r="I9" s="83" t="s">
        <v>217</v>
      </c>
      <c r="J9" s="31"/>
      <c r="K9" s="31">
        <v>5688.0</v>
      </c>
      <c r="L9" s="31"/>
      <c r="M9" s="90"/>
      <c r="N9" s="79"/>
      <c r="O9" s="92"/>
      <c r="P9" s="83" t="s">
        <v>217</v>
      </c>
      <c r="Q9" s="31"/>
      <c r="R9" s="31"/>
      <c r="S9" s="31"/>
      <c r="T9" s="90"/>
      <c r="U9" s="79"/>
    </row>
    <row r="10">
      <c r="A10" s="92"/>
      <c r="B10" s="83" t="s">
        <v>217</v>
      </c>
      <c r="C10" s="49"/>
      <c r="D10" s="31" t="s">
        <v>35</v>
      </c>
      <c r="E10" s="31" t="s">
        <v>139</v>
      </c>
      <c r="F10" s="90"/>
      <c r="G10" s="79"/>
      <c r="H10" s="92"/>
      <c r="I10" s="83" t="s">
        <v>217</v>
      </c>
      <c r="J10" s="49"/>
      <c r="K10" s="31" t="s">
        <v>39</v>
      </c>
      <c r="L10" s="31" t="s">
        <v>124</v>
      </c>
      <c r="M10" s="90"/>
      <c r="N10" s="79"/>
      <c r="O10" s="92"/>
      <c r="P10" s="83" t="s">
        <v>217</v>
      </c>
      <c r="Q10" s="49"/>
      <c r="R10" s="31"/>
      <c r="S10" s="31"/>
      <c r="T10" s="90"/>
      <c r="U10" s="79"/>
    </row>
    <row r="11">
      <c r="A11" s="92"/>
      <c r="B11" s="83" t="s">
        <v>217</v>
      </c>
      <c r="C11" s="49"/>
      <c r="D11" s="31" t="s">
        <v>29</v>
      </c>
      <c r="E11" s="31" t="s">
        <v>92</v>
      </c>
      <c r="F11" s="90"/>
      <c r="G11" s="79"/>
      <c r="H11" s="92"/>
      <c r="I11" s="83" t="s">
        <v>217</v>
      </c>
      <c r="J11" s="49"/>
      <c r="K11" s="31" t="s">
        <v>17</v>
      </c>
      <c r="L11" s="31" t="s">
        <v>97</v>
      </c>
      <c r="M11" s="90"/>
      <c r="N11" s="79"/>
      <c r="O11" s="92"/>
      <c r="P11" s="83" t="s">
        <v>217</v>
      </c>
      <c r="Q11" s="49"/>
      <c r="R11" s="31"/>
      <c r="S11" s="31"/>
      <c r="T11" s="90"/>
      <c r="U11" s="79"/>
    </row>
    <row r="12">
      <c r="A12" s="92"/>
      <c r="B12" s="83" t="s">
        <v>217</v>
      </c>
      <c r="C12" s="49"/>
      <c r="D12" s="31" t="s">
        <v>17</v>
      </c>
      <c r="E12" s="31" t="s">
        <v>84</v>
      </c>
      <c r="F12" s="90"/>
      <c r="G12" s="79"/>
      <c r="H12" s="92"/>
      <c r="I12" s="83" t="s">
        <v>217</v>
      </c>
      <c r="J12" s="49"/>
      <c r="K12" s="31"/>
      <c r="L12" s="31"/>
      <c r="M12" s="90" t="s">
        <v>227</v>
      </c>
      <c r="N12" s="79"/>
      <c r="O12" s="92"/>
      <c r="P12" s="83" t="s">
        <v>217</v>
      </c>
      <c r="Q12" s="49"/>
      <c r="R12" s="31"/>
      <c r="S12" s="31"/>
      <c r="T12" s="90"/>
      <c r="U12" s="79"/>
    </row>
    <row r="13">
      <c r="A13" s="92"/>
      <c r="B13" s="83" t="s">
        <v>217</v>
      </c>
      <c r="C13" s="49"/>
      <c r="D13" s="31" t="s">
        <v>39</v>
      </c>
      <c r="E13" s="31" t="s">
        <v>73</v>
      </c>
      <c r="F13" s="90"/>
      <c r="G13" s="79"/>
      <c r="H13" s="92"/>
      <c r="I13" s="83" t="s">
        <v>217</v>
      </c>
      <c r="J13" s="49"/>
      <c r="K13" s="31" t="s">
        <v>29</v>
      </c>
      <c r="L13" s="31" t="s">
        <v>84</v>
      </c>
      <c r="M13" s="90"/>
      <c r="N13" s="79"/>
      <c r="O13" s="92"/>
      <c r="P13" s="83" t="s">
        <v>217</v>
      </c>
      <c r="Q13" s="49"/>
      <c r="R13" s="31"/>
      <c r="S13" s="31"/>
      <c r="T13" s="90"/>
      <c r="U13" s="79"/>
    </row>
    <row r="14">
      <c r="A14" s="92"/>
      <c r="B14" s="83" t="s">
        <v>217</v>
      </c>
      <c r="C14" s="49"/>
      <c r="D14" s="31" t="s">
        <v>26</v>
      </c>
      <c r="E14" s="31" t="s">
        <v>84</v>
      </c>
      <c r="F14" s="90"/>
      <c r="G14" s="79"/>
      <c r="H14" s="92"/>
      <c r="I14" s="83" t="s">
        <v>217</v>
      </c>
      <c r="J14" s="49"/>
      <c r="K14" s="31" t="s">
        <v>26</v>
      </c>
      <c r="L14" s="31" t="s">
        <v>73</v>
      </c>
      <c r="M14" s="90"/>
      <c r="N14" s="79"/>
      <c r="O14" s="92"/>
      <c r="P14" s="83" t="s">
        <v>217</v>
      </c>
      <c r="Q14" s="49"/>
      <c r="R14" s="31"/>
      <c r="S14" s="31"/>
      <c r="T14" s="90"/>
      <c r="U14" s="79"/>
    </row>
    <row r="15">
      <c r="A15" s="92"/>
      <c r="B15" s="83" t="s">
        <v>218</v>
      </c>
      <c r="C15" s="49"/>
      <c r="D15" s="31"/>
      <c r="E15" s="31"/>
      <c r="F15" s="90" t="s">
        <v>227</v>
      </c>
      <c r="G15" s="79"/>
      <c r="H15" s="92"/>
      <c r="I15" s="83" t="s">
        <v>218</v>
      </c>
      <c r="J15" s="49"/>
      <c r="K15" s="31" t="s">
        <v>10</v>
      </c>
      <c r="L15" s="31" t="s">
        <v>65</v>
      </c>
      <c r="M15" s="90"/>
      <c r="N15" s="79"/>
      <c r="O15" s="92"/>
      <c r="P15" s="83" t="s">
        <v>218</v>
      </c>
      <c r="Q15" s="49"/>
      <c r="R15" s="31"/>
      <c r="S15" s="31"/>
      <c r="T15" s="90"/>
      <c r="U15" s="79"/>
    </row>
    <row r="16">
      <c r="A16" s="92"/>
      <c r="B16" s="85" t="s">
        <v>218</v>
      </c>
      <c r="C16" s="86"/>
      <c r="D16" s="87" t="s">
        <v>25</v>
      </c>
      <c r="E16" s="87" t="s">
        <v>65</v>
      </c>
      <c r="F16" s="88"/>
      <c r="G16" s="89"/>
      <c r="H16" s="92"/>
      <c r="I16" s="85" t="s">
        <v>218</v>
      </c>
      <c r="J16" s="86"/>
      <c r="K16" s="87" t="s">
        <v>48</v>
      </c>
      <c r="L16" s="87"/>
      <c r="M16" s="88"/>
      <c r="N16" s="89"/>
      <c r="O16" s="92"/>
      <c r="P16" s="85" t="s">
        <v>218</v>
      </c>
      <c r="Q16" s="86"/>
      <c r="R16" s="87"/>
      <c r="S16" s="87"/>
      <c r="T16" s="88"/>
      <c r="U16" s="89"/>
    </row>
    <row r="18">
      <c r="A18" s="71" t="b">
        <v>1</v>
      </c>
      <c r="B18" s="72" t="s">
        <v>211</v>
      </c>
      <c r="C18" s="73">
        <v>45997.0</v>
      </c>
      <c r="D18" s="74"/>
      <c r="E18" s="74"/>
      <c r="F18" s="75" t="s">
        <v>212</v>
      </c>
      <c r="G18" s="76"/>
      <c r="H18" s="71" t="b">
        <v>1</v>
      </c>
      <c r="I18" s="72" t="s">
        <v>211</v>
      </c>
      <c r="J18" s="73">
        <v>45995.0</v>
      </c>
      <c r="K18" s="74"/>
      <c r="L18" s="74"/>
      <c r="M18" s="75" t="s">
        <v>212</v>
      </c>
      <c r="N18" s="76"/>
      <c r="O18" s="71" t="b">
        <v>0</v>
      </c>
      <c r="P18" s="72" t="s">
        <v>211</v>
      </c>
      <c r="Q18" s="73"/>
      <c r="R18" s="74"/>
      <c r="S18" s="74"/>
      <c r="T18" s="75" t="s">
        <v>212</v>
      </c>
      <c r="U18" s="76"/>
    </row>
    <row r="19">
      <c r="A19" s="92"/>
      <c r="B19" s="77" t="s">
        <v>213</v>
      </c>
      <c r="C19" s="78" t="s">
        <v>228</v>
      </c>
      <c r="G19" s="79"/>
      <c r="H19" s="92"/>
      <c r="I19" s="77" t="s">
        <v>213</v>
      </c>
      <c r="J19" s="78" t="s">
        <v>219</v>
      </c>
      <c r="N19" s="79"/>
      <c r="O19" s="92"/>
      <c r="P19" s="77" t="s">
        <v>213</v>
      </c>
      <c r="Q19" s="78"/>
      <c r="U19" s="79"/>
    </row>
    <row r="20">
      <c r="A20" s="92"/>
      <c r="B20" s="81" t="s">
        <v>215</v>
      </c>
      <c r="C20" s="82" t="s">
        <v>216</v>
      </c>
      <c r="D20" s="82" t="s">
        <v>1</v>
      </c>
      <c r="E20" s="82" t="s">
        <v>53</v>
      </c>
      <c r="G20" s="79"/>
      <c r="H20" s="92"/>
      <c r="I20" s="81" t="s">
        <v>215</v>
      </c>
      <c r="J20" s="82" t="s">
        <v>216</v>
      </c>
      <c r="K20" s="82" t="s">
        <v>1</v>
      </c>
      <c r="L20" s="82" t="s">
        <v>53</v>
      </c>
      <c r="N20" s="79"/>
      <c r="O20" s="92"/>
      <c r="P20" s="81" t="s">
        <v>215</v>
      </c>
      <c r="Q20" s="82" t="s">
        <v>216</v>
      </c>
      <c r="R20" s="82" t="s">
        <v>1</v>
      </c>
      <c r="S20" s="82" t="s">
        <v>53</v>
      </c>
      <c r="U20" s="79"/>
    </row>
    <row r="21">
      <c r="A21" s="92"/>
      <c r="B21" s="83" t="s">
        <v>217</v>
      </c>
      <c r="C21" s="31"/>
      <c r="D21" s="31" t="s">
        <v>31</v>
      </c>
      <c r="E21" s="31" t="s">
        <v>95</v>
      </c>
      <c r="F21" s="90"/>
      <c r="G21" s="79"/>
      <c r="H21" s="92"/>
      <c r="I21" s="83" t="s">
        <v>217</v>
      </c>
      <c r="J21" s="31"/>
      <c r="K21" s="31">
        <v>5688.0</v>
      </c>
      <c r="L21" s="31"/>
      <c r="M21" s="90"/>
      <c r="N21" s="79"/>
      <c r="O21" s="92"/>
      <c r="P21" s="83" t="s">
        <v>217</v>
      </c>
      <c r="Q21" s="31"/>
      <c r="R21" s="31"/>
      <c r="S21" s="31"/>
      <c r="T21" s="90"/>
      <c r="U21" s="79"/>
    </row>
    <row r="22">
      <c r="A22" s="92"/>
      <c r="B22" s="83" t="s">
        <v>217</v>
      </c>
      <c r="C22" s="49"/>
      <c r="D22" s="31" t="s">
        <v>35</v>
      </c>
      <c r="E22" s="31" t="s">
        <v>143</v>
      </c>
      <c r="F22" s="90"/>
      <c r="G22" s="79"/>
      <c r="H22" s="92"/>
      <c r="I22" s="83" t="s">
        <v>217</v>
      </c>
      <c r="J22" s="49"/>
      <c r="K22" s="31" t="s">
        <v>48</v>
      </c>
      <c r="L22" s="31"/>
      <c r="M22" s="90"/>
      <c r="N22" s="79"/>
      <c r="O22" s="92"/>
      <c r="P22" s="83" t="s">
        <v>217</v>
      </c>
      <c r="Q22" s="49"/>
      <c r="R22" s="31"/>
      <c r="S22" s="31"/>
      <c r="T22" s="90"/>
      <c r="U22" s="79"/>
    </row>
    <row r="23">
      <c r="A23" s="92"/>
      <c r="B23" s="83" t="s">
        <v>217</v>
      </c>
      <c r="C23" s="49"/>
      <c r="D23" s="31" t="s">
        <v>29</v>
      </c>
      <c r="E23" s="31" t="s">
        <v>99</v>
      </c>
      <c r="F23" s="90"/>
      <c r="G23" s="79"/>
      <c r="H23" s="92"/>
      <c r="I23" s="83" t="s">
        <v>217</v>
      </c>
      <c r="J23" s="49"/>
      <c r="K23" s="31" t="s">
        <v>49</v>
      </c>
      <c r="L23" s="31" t="s">
        <v>124</v>
      </c>
      <c r="M23" s="90"/>
      <c r="N23" s="79"/>
      <c r="O23" s="92"/>
      <c r="P23" s="83" t="s">
        <v>217</v>
      </c>
      <c r="Q23" s="49"/>
      <c r="R23" s="31"/>
      <c r="S23" s="31"/>
      <c r="T23" s="90"/>
      <c r="U23" s="79"/>
    </row>
    <row r="24">
      <c r="A24" s="92"/>
      <c r="B24" s="83" t="s">
        <v>217</v>
      </c>
      <c r="C24" s="49"/>
      <c r="D24" s="31" t="s">
        <v>17</v>
      </c>
      <c r="E24" s="31" t="s">
        <v>60</v>
      </c>
      <c r="F24" s="90"/>
      <c r="G24" s="79"/>
      <c r="H24" s="92"/>
      <c r="I24" s="83" t="s">
        <v>217</v>
      </c>
      <c r="J24" s="49"/>
      <c r="K24" s="31" t="s">
        <v>17</v>
      </c>
      <c r="L24" s="31" t="s">
        <v>90</v>
      </c>
      <c r="M24" s="90"/>
      <c r="N24" s="79"/>
      <c r="O24" s="92"/>
      <c r="P24" s="83" t="s">
        <v>217</v>
      </c>
      <c r="Q24" s="49"/>
      <c r="R24" s="31"/>
      <c r="S24" s="31"/>
      <c r="T24" s="90"/>
      <c r="U24" s="79"/>
    </row>
    <row r="25">
      <c r="A25" s="92"/>
      <c r="B25" s="83" t="s">
        <v>217</v>
      </c>
      <c r="C25" s="49"/>
      <c r="D25" s="31" t="s">
        <v>23</v>
      </c>
      <c r="E25" s="31" t="s">
        <v>69</v>
      </c>
      <c r="F25" s="90"/>
      <c r="G25" s="79"/>
      <c r="H25" s="92"/>
      <c r="I25" s="83" t="s">
        <v>217</v>
      </c>
      <c r="J25" s="49"/>
      <c r="K25" s="31" t="s">
        <v>29</v>
      </c>
      <c r="L25" s="31" t="s">
        <v>63</v>
      </c>
      <c r="M25" s="90"/>
      <c r="N25" s="79"/>
      <c r="O25" s="92"/>
      <c r="P25" s="83" t="s">
        <v>217</v>
      </c>
      <c r="Q25" s="49"/>
      <c r="R25" s="31"/>
      <c r="S25" s="31"/>
      <c r="T25" s="90"/>
      <c r="U25" s="79"/>
    </row>
    <row r="26">
      <c r="A26" s="92"/>
      <c r="B26" s="83" t="s">
        <v>217</v>
      </c>
      <c r="C26" s="49"/>
      <c r="D26" s="31" t="s">
        <v>39</v>
      </c>
      <c r="E26" s="31" t="s">
        <v>69</v>
      </c>
      <c r="F26" s="90"/>
      <c r="G26" s="79"/>
      <c r="H26" s="92"/>
      <c r="I26" s="83" t="s">
        <v>217</v>
      </c>
      <c r="J26" s="49"/>
      <c r="K26" s="31" t="s">
        <v>25</v>
      </c>
      <c r="L26" s="31" t="s">
        <v>69</v>
      </c>
      <c r="M26" s="90"/>
      <c r="N26" s="79"/>
      <c r="O26" s="92"/>
      <c r="P26" s="83" t="s">
        <v>217</v>
      </c>
      <c r="Q26" s="49"/>
      <c r="R26" s="31"/>
      <c r="S26" s="31"/>
      <c r="T26" s="90"/>
      <c r="U26" s="79"/>
    </row>
    <row r="27">
      <c r="A27" s="92"/>
      <c r="B27" s="83" t="s">
        <v>218</v>
      </c>
      <c r="C27" s="49"/>
      <c r="D27" s="31" t="s">
        <v>25</v>
      </c>
      <c r="E27" s="31" t="s">
        <v>88</v>
      </c>
      <c r="F27" s="90"/>
      <c r="G27" s="79"/>
      <c r="H27" s="92"/>
      <c r="I27" s="83" t="s">
        <v>218</v>
      </c>
      <c r="J27" s="49"/>
      <c r="K27" s="31" t="s">
        <v>10</v>
      </c>
      <c r="L27" s="31" t="s">
        <v>65</v>
      </c>
      <c r="M27" s="90"/>
      <c r="N27" s="79"/>
      <c r="O27" s="92"/>
      <c r="P27" s="83" t="s">
        <v>218</v>
      </c>
      <c r="Q27" s="49"/>
      <c r="R27" s="31"/>
      <c r="S27" s="31"/>
      <c r="T27" s="90"/>
      <c r="U27" s="79"/>
    </row>
    <row r="28">
      <c r="A28" s="92"/>
      <c r="B28" s="85" t="s">
        <v>218</v>
      </c>
      <c r="C28" s="86"/>
      <c r="D28" s="87" t="s">
        <v>49</v>
      </c>
      <c r="E28" s="87" t="s">
        <v>65</v>
      </c>
      <c r="F28" s="88"/>
      <c r="G28" s="89"/>
      <c r="H28" s="92"/>
      <c r="I28" s="85" t="s">
        <v>218</v>
      </c>
      <c r="J28" s="86"/>
      <c r="K28" s="87"/>
      <c r="L28" s="87"/>
      <c r="M28" s="91" t="s">
        <v>227</v>
      </c>
      <c r="N28" s="89"/>
      <c r="O28" s="92"/>
      <c r="P28" s="85" t="s">
        <v>218</v>
      </c>
      <c r="Q28" s="86"/>
      <c r="R28" s="87"/>
      <c r="S28" s="87"/>
      <c r="T28" s="88"/>
      <c r="U28" s="89"/>
    </row>
    <row r="30">
      <c r="A30" s="71" t="b">
        <v>1</v>
      </c>
      <c r="B30" s="72" t="s">
        <v>211</v>
      </c>
      <c r="C30" s="73">
        <v>45997.0</v>
      </c>
      <c r="D30" s="74"/>
      <c r="E30" s="74"/>
      <c r="F30" s="75" t="s">
        <v>212</v>
      </c>
      <c r="G30" s="76"/>
      <c r="H30" s="71" t="b">
        <v>1</v>
      </c>
      <c r="I30" s="72" t="s">
        <v>211</v>
      </c>
      <c r="J30" s="73">
        <v>45995.0</v>
      </c>
      <c r="K30" s="74"/>
      <c r="L30" s="74"/>
      <c r="M30" s="75" t="s">
        <v>212</v>
      </c>
      <c r="N30" s="76"/>
      <c r="O30" s="71" t="b">
        <v>0</v>
      </c>
      <c r="P30" s="72" t="s">
        <v>211</v>
      </c>
      <c r="Q30" s="73"/>
      <c r="R30" s="74"/>
      <c r="S30" s="74"/>
      <c r="T30" s="75" t="s">
        <v>212</v>
      </c>
      <c r="U30" s="76"/>
    </row>
    <row r="31">
      <c r="A31" s="92"/>
      <c r="B31" s="77" t="s">
        <v>213</v>
      </c>
      <c r="C31" s="78" t="s">
        <v>229</v>
      </c>
      <c r="G31" s="79"/>
      <c r="H31" s="92"/>
      <c r="I31" s="77" t="s">
        <v>213</v>
      </c>
      <c r="J31" s="78" t="s">
        <v>230</v>
      </c>
      <c r="N31" s="79"/>
      <c r="O31" s="92"/>
      <c r="P31" s="77" t="s">
        <v>213</v>
      </c>
      <c r="Q31" s="78"/>
      <c r="U31" s="79"/>
    </row>
    <row r="32">
      <c r="A32" s="92"/>
      <c r="B32" s="81" t="s">
        <v>215</v>
      </c>
      <c r="C32" s="82" t="s">
        <v>216</v>
      </c>
      <c r="D32" s="82" t="s">
        <v>1</v>
      </c>
      <c r="E32" s="82" t="s">
        <v>53</v>
      </c>
      <c r="G32" s="79"/>
      <c r="H32" s="92"/>
      <c r="I32" s="81" t="s">
        <v>215</v>
      </c>
      <c r="J32" s="82" t="s">
        <v>216</v>
      </c>
      <c r="K32" s="82" t="s">
        <v>1</v>
      </c>
      <c r="L32" s="82" t="s">
        <v>53</v>
      </c>
      <c r="N32" s="79"/>
      <c r="O32" s="92"/>
      <c r="P32" s="81" t="s">
        <v>215</v>
      </c>
      <c r="Q32" s="82" t="s">
        <v>216</v>
      </c>
      <c r="R32" s="82" t="s">
        <v>1</v>
      </c>
      <c r="S32" s="82" t="s">
        <v>53</v>
      </c>
      <c r="U32" s="79"/>
    </row>
    <row r="33">
      <c r="A33" s="92"/>
      <c r="B33" s="83" t="s">
        <v>217</v>
      </c>
      <c r="C33" s="31"/>
      <c r="D33" s="31" t="s">
        <v>31</v>
      </c>
      <c r="E33" s="31" t="s">
        <v>73</v>
      </c>
      <c r="F33" s="90"/>
      <c r="G33" s="79"/>
      <c r="H33" s="92"/>
      <c r="I33" s="83" t="s">
        <v>217</v>
      </c>
      <c r="J33" s="31"/>
      <c r="K33" s="31" t="s">
        <v>25</v>
      </c>
      <c r="L33" s="31" t="s">
        <v>80</v>
      </c>
      <c r="M33" s="90"/>
      <c r="N33" s="79"/>
      <c r="O33" s="92"/>
      <c r="P33" s="83" t="s">
        <v>217</v>
      </c>
      <c r="Q33" s="31"/>
      <c r="R33" s="31"/>
      <c r="S33" s="31"/>
      <c r="T33" s="90"/>
      <c r="U33" s="79"/>
    </row>
    <row r="34">
      <c r="A34" s="92"/>
      <c r="B34" s="83" t="s">
        <v>217</v>
      </c>
      <c r="C34" s="49"/>
      <c r="D34" s="31" t="s">
        <v>29</v>
      </c>
      <c r="E34" s="31" t="s">
        <v>95</v>
      </c>
      <c r="F34" s="90"/>
      <c r="G34" s="79"/>
      <c r="H34" s="92"/>
      <c r="I34" s="83" t="s">
        <v>217</v>
      </c>
      <c r="J34" s="49"/>
      <c r="K34" s="31" t="s">
        <v>14</v>
      </c>
      <c r="L34" s="31" t="s">
        <v>121</v>
      </c>
      <c r="M34" s="90"/>
      <c r="N34" s="79"/>
      <c r="O34" s="92"/>
      <c r="P34" s="83" t="s">
        <v>217</v>
      </c>
      <c r="Q34" s="49"/>
      <c r="R34" s="31"/>
      <c r="S34" s="31"/>
      <c r="T34" s="90"/>
      <c r="U34" s="79"/>
    </row>
    <row r="35">
      <c r="A35" s="92"/>
      <c r="B35" s="83" t="s">
        <v>217</v>
      </c>
      <c r="C35" s="49"/>
      <c r="D35" s="31" t="s">
        <v>17</v>
      </c>
      <c r="E35" s="31" t="s">
        <v>90</v>
      </c>
      <c r="F35" s="90"/>
      <c r="G35" s="79"/>
      <c r="H35" s="92"/>
      <c r="I35" s="83" t="s">
        <v>217</v>
      </c>
      <c r="J35" s="49"/>
      <c r="K35" s="31" t="s">
        <v>39</v>
      </c>
      <c r="L35" s="31" t="s">
        <v>194</v>
      </c>
      <c r="M35" s="90"/>
      <c r="N35" s="79"/>
      <c r="O35" s="92"/>
      <c r="P35" s="83" t="s">
        <v>217</v>
      </c>
      <c r="Q35" s="49"/>
      <c r="R35" s="31"/>
      <c r="S35" s="31"/>
      <c r="T35" s="90"/>
      <c r="U35" s="79"/>
    </row>
    <row r="36">
      <c r="A36" s="92"/>
      <c r="B36" s="83" t="s">
        <v>217</v>
      </c>
      <c r="C36" s="49"/>
      <c r="D36" s="31" t="s">
        <v>23</v>
      </c>
      <c r="E36" s="31" t="s">
        <v>82</v>
      </c>
      <c r="F36" s="90"/>
      <c r="G36" s="79"/>
      <c r="H36" s="92"/>
      <c r="I36" s="83" t="s">
        <v>217</v>
      </c>
      <c r="J36" s="49"/>
      <c r="K36" s="31" t="s">
        <v>49</v>
      </c>
      <c r="L36" s="31" t="s">
        <v>63</v>
      </c>
      <c r="M36" s="90"/>
      <c r="N36" s="79"/>
      <c r="O36" s="92"/>
      <c r="P36" s="83" t="s">
        <v>217</v>
      </c>
      <c r="Q36" s="49"/>
      <c r="R36" s="31"/>
      <c r="S36" s="31"/>
      <c r="T36" s="90"/>
      <c r="U36" s="79"/>
    </row>
    <row r="37">
      <c r="A37" s="92"/>
      <c r="B37" s="83" t="s">
        <v>217</v>
      </c>
      <c r="C37" s="49"/>
      <c r="D37" s="31" t="s">
        <v>39</v>
      </c>
      <c r="E37" s="31" t="s">
        <v>69</v>
      </c>
      <c r="F37" s="90"/>
      <c r="G37" s="79"/>
      <c r="H37" s="92"/>
      <c r="I37" s="83" t="s">
        <v>217</v>
      </c>
      <c r="J37" s="49"/>
      <c r="K37" s="31"/>
      <c r="L37" s="31"/>
      <c r="M37" s="90" t="s">
        <v>227</v>
      </c>
      <c r="N37" s="79"/>
      <c r="O37" s="92"/>
      <c r="P37" s="83" t="s">
        <v>217</v>
      </c>
      <c r="Q37" s="49"/>
      <c r="R37" s="31"/>
      <c r="S37" s="31"/>
      <c r="T37" s="90"/>
      <c r="U37" s="79"/>
    </row>
    <row r="38">
      <c r="A38" s="92"/>
      <c r="B38" s="83" t="s">
        <v>217</v>
      </c>
      <c r="C38" s="49"/>
      <c r="D38" s="31" t="s">
        <v>49</v>
      </c>
      <c r="E38" s="31" t="s">
        <v>194</v>
      </c>
      <c r="F38" s="90"/>
      <c r="G38" s="79"/>
      <c r="H38" s="92"/>
      <c r="I38" s="83" t="s">
        <v>217</v>
      </c>
      <c r="J38" s="49"/>
      <c r="K38" s="31" t="s">
        <v>29</v>
      </c>
      <c r="L38" s="31" t="s">
        <v>69</v>
      </c>
      <c r="M38" s="90"/>
      <c r="N38" s="79"/>
      <c r="O38" s="92"/>
      <c r="P38" s="83" t="s">
        <v>217</v>
      </c>
      <c r="Q38" s="49"/>
      <c r="R38" s="31"/>
      <c r="S38" s="31"/>
      <c r="T38" s="90"/>
      <c r="U38" s="79"/>
    </row>
    <row r="39">
      <c r="A39" s="92"/>
      <c r="B39" s="83" t="s">
        <v>218</v>
      </c>
      <c r="C39" s="49"/>
      <c r="D39" s="31" t="s">
        <v>35</v>
      </c>
      <c r="E39" s="31" t="s">
        <v>67</v>
      </c>
      <c r="F39" s="90"/>
      <c r="G39" s="79"/>
      <c r="H39" s="92"/>
      <c r="I39" s="83" t="s">
        <v>218</v>
      </c>
      <c r="J39" s="49"/>
      <c r="K39" s="31" t="s">
        <v>10</v>
      </c>
      <c r="L39" s="31" t="s">
        <v>65</v>
      </c>
      <c r="M39" s="90"/>
      <c r="N39" s="79"/>
      <c r="O39" s="92"/>
      <c r="P39" s="83" t="s">
        <v>218</v>
      </c>
      <c r="Q39" s="49"/>
      <c r="R39" s="31"/>
      <c r="S39" s="31"/>
      <c r="T39" s="90"/>
      <c r="U39" s="79"/>
    </row>
    <row r="40">
      <c r="A40" s="92"/>
      <c r="B40" s="85" t="s">
        <v>218</v>
      </c>
      <c r="C40" s="86"/>
      <c r="D40" s="87" t="s">
        <v>25</v>
      </c>
      <c r="E40" s="87" t="s">
        <v>67</v>
      </c>
      <c r="F40" s="91" t="s">
        <v>50</v>
      </c>
      <c r="G40" s="89"/>
      <c r="H40" s="92"/>
      <c r="I40" s="85" t="s">
        <v>218</v>
      </c>
      <c r="J40" s="86"/>
      <c r="K40" s="87" t="s">
        <v>17</v>
      </c>
      <c r="L40" s="87" t="s">
        <v>67</v>
      </c>
      <c r="M40" s="88"/>
      <c r="N40" s="89"/>
      <c r="O40" s="92"/>
      <c r="P40" s="85" t="s">
        <v>218</v>
      </c>
      <c r="Q40" s="86"/>
      <c r="R40" s="87"/>
      <c r="S40" s="87"/>
      <c r="T40" s="88"/>
      <c r="U40" s="89"/>
    </row>
    <row r="42">
      <c r="A42" s="71" t="b">
        <v>1</v>
      </c>
      <c r="B42" s="72" t="s">
        <v>211</v>
      </c>
      <c r="C42" s="73">
        <v>45997.0</v>
      </c>
      <c r="D42" s="74"/>
      <c r="E42" s="74"/>
      <c r="F42" s="75" t="s">
        <v>212</v>
      </c>
      <c r="G42" s="76"/>
      <c r="H42" s="71" t="b">
        <v>1</v>
      </c>
      <c r="I42" s="72" t="s">
        <v>211</v>
      </c>
      <c r="J42" s="73">
        <v>45996.0</v>
      </c>
      <c r="K42" s="74"/>
      <c r="L42" s="74"/>
      <c r="M42" s="75" t="s">
        <v>212</v>
      </c>
      <c r="N42" s="76"/>
      <c r="O42" s="71" t="b">
        <v>0</v>
      </c>
      <c r="P42" s="72" t="s">
        <v>211</v>
      </c>
      <c r="Q42" s="73"/>
      <c r="R42" s="74"/>
      <c r="S42" s="74"/>
      <c r="T42" s="75" t="s">
        <v>212</v>
      </c>
      <c r="U42" s="76"/>
    </row>
    <row r="43">
      <c r="A43" s="92"/>
      <c r="B43" s="77" t="s">
        <v>213</v>
      </c>
      <c r="C43" s="78" t="s">
        <v>226</v>
      </c>
      <c r="G43" s="79"/>
      <c r="H43" s="92"/>
      <c r="I43" s="77" t="s">
        <v>213</v>
      </c>
      <c r="J43" s="78" t="s">
        <v>231</v>
      </c>
      <c r="N43" s="79"/>
      <c r="O43" s="92"/>
      <c r="P43" s="77" t="s">
        <v>213</v>
      </c>
      <c r="Q43" s="78"/>
      <c r="U43" s="79"/>
    </row>
    <row r="44">
      <c r="A44" s="92"/>
      <c r="B44" s="81" t="s">
        <v>215</v>
      </c>
      <c r="C44" s="82" t="s">
        <v>216</v>
      </c>
      <c r="D44" s="82" t="s">
        <v>1</v>
      </c>
      <c r="E44" s="82" t="s">
        <v>53</v>
      </c>
      <c r="G44" s="79"/>
      <c r="H44" s="92"/>
      <c r="I44" s="81" t="s">
        <v>215</v>
      </c>
      <c r="J44" s="82" t="s">
        <v>216</v>
      </c>
      <c r="K44" s="82" t="s">
        <v>1</v>
      </c>
      <c r="L44" s="82" t="s">
        <v>53</v>
      </c>
      <c r="N44" s="79"/>
      <c r="O44" s="92"/>
      <c r="P44" s="81" t="s">
        <v>215</v>
      </c>
      <c r="Q44" s="82" t="s">
        <v>216</v>
      </c>
      <c r="R44" s="82" t="s">
        <v>1</v>
      </c>
      <c r="S44" s="82" t="s">
        <v>53</v>
      </c>
      <c r="U44" s="79"/>
    </row>
    <row r="45">
      <c r="A45" s="92"/>
      <c r="B45" s="83" t="s">
        <v>217</v>
      </c>
      <c r="C45" s="31"/>
      <c r="D45" s="31">
        <v>5688.0</v>
      </c>
      <c r="E45" s="31"/>
      <c r="F45" s="90"/>
      <c r="G45" s="79"/>
      <c r="H45" s="92"/>
      <c r="I45" s="83" t="s">
        <v>217</v>
      </c>
      <c r="J45" s="31"/>
      <c r="K45" s="31" t="s">
        <v>49</v>
      </c>
      <c r="L45" s="31" t="s">
        <v>124</v>
      </c>
      <c r="M45" s="90" t="s">
        <v>232</v>
      </c>
      <c r="N45" s="79"/>
      <c r="O45" s="92"/>
      <c r="P45" s="83" t="s">
        <v>217</v>
      </c>
      <c r="Q45" s="31"/>
      <c r="R45" s="31"/>
      <c r="S45" s="31"/>
      <c r="T45" s="90"/>
      <c r="U45" s="79"/>
    </row>
    <row r="46">
      <c r="A46" s="92"/>
      <c r="B46" s="83" t="s">
        <v>217</v>
      </c>
      <c r="C46" s="49"/>
      <c r="D46" s="31" t="s">
        <v>31</v>
      </c>
      <c r="E46" s="31" t="s">
        <v>60</v>
      </c>
      <c r="F46" s="90"/>
      <c r="G46" s="79"/>
      <c r="H46" s="92"/>
      <c r="I46" s="83" t="s">
        <v>217</v>
      </c>
      <c r="J46" s="49"/>
      <c r="K46" s="31" t="s">
        <v>19</v>
      </c>
      <c r="L46" s="31" t="s">
        <v>73</v>
      </c>
      <c r="M46" s="90"/>
      <c r="N46" s="79"/>
      <c r="O46" s="92"/>
      <c r="P46" s="83" t="s">
        <v>217</v>
      </c>
      <c r="Q46" s="49"/>
      <c r="R46" s="31"/>
      <c r="S46" s="31"/>
      <c r="T46" s="90"/>
      <c r="U46" s="79"/>
    </row>
    <row r="47">
      <c r="A47" s="92"/>
      <c r="B47" s="83" t="s">
        <v>217</v>
      </c>
      <c r="C47" s="49"/>
      <c r="D47" s="31" t="s">
        <v>10</v>
      </c>
      <c r="E47" s="31" t="s">
        <v>82</v>
      </c>
      <c r="F47" s="90" t="s">
        <v>227</v>
      </c>
      <c r="G47" s="79"/>
      <c r="H47" s="92"/>
      <c r="I47" s="83" t="s">
        <v>217</v>
      </c>
      <c r="J47" s="49"/>
      <c r="K47" s="31" t="s">
        <v>26</v>
      </c>
      <c r="L47" s="31" t="s">
        <v>99</v>
      </c>
      <c r="M47" s="90"/>
      <c r="N47" s="79"/>
      <c r="O47" s="92"/>
      <c r="P47" s="83" t="s">
        <v>217</v>
      </c>
      <c r="Q47" s="49"/>
      <c r="R47" s="31"/>
      <c r="S47" s="31"/>
      <c r="T47" s="90"/>
      <c r="U47" s="79"/>
    </row>
    <row r="48">
      <c r="A48" s="92"/>
      <c r="B48" s="83" t="s">
        <v>217</v>
      </c>
      <c r="C48" s="49"/>
      <c r="D48" s="31" t="s">
        <v>19</v>
      </c>
      <c r="E48" s="31" t="s">
        <v>61</v>
      </c>
      <c r="F48" s="90"/>
      <c r="G48" s="79"/>
      <c r="H48" s="92"/>
      <c r="I48" s="83" t="s">
        <v>217</v>
      </c>
      <c r="J48" s="49"/>
      <c r="K48" s="31" t="s">
        <v>31</v>
      </c>
      <c r="L48" s="31" t="s">
        <v>69</v>
      </c>
      <c r="M48" s="90"/>
      <c r="N48" s="79"/>
      <c r="O48" s="92"/>
      <c r="P48" s="83" t="s">
        <v>217</v>
      </c>
      <c r="Q48" s="49"/>
      <c r="R48" s="31"/>
      <c r="S48" s="31"/>
      <c r="T48" s="90"/>
      <c r="U48" s="79"/>
    </row>
    <row r="49">
      <c r="A49" s="92"/>
      <c r="B49" s="83" t="s">
        <v>217</v>
      </c>
      <c r="C49" s="49"/>
      <c r="D49" s="31" t="s">
        <v>49</v>
      </c>
      <c r="E49" s="31" t="s">
        <v>97</v>
      </c>
      <c r="F49" s="90"/>
      <c r="G49" s="79"/>
      <c r="H49" s="92"/>
      <c r="I49" s="83" t="s">
        <v>217</v>
      </c>
      <c r="J49" s="49"/>
      <c r="K49" s="31" t="s">
        <v>23</v>
      </c>
      <c r="L49" s="31" t="s">
        <v>112</v>
      </c>
      <c r="M49" s="90"/>
      <c r="N49" s="79"/>
      <c r="O49" s="92"/>
      <c r="P49" s="83" t="s">
        <v>217</v>
      </c>
      <c r="Q49" s="49"/>
      <c r="R49" s="31"/>
      <c r="S49" s="31"/>
      <c r="T49" s="90"/>
      <c r="U49" s="79"/>
    </row>
    <row r="50">
      <c r="A50" s="92"/>
      <c r="B50" s="83" t="s">
        <v>217</v>
      </c>
      <c r="C50" s="49"/>
      <c r="D50" s="31" t="s">
        <v>25</v>
      </c>
      <c r="E50" s="31" t="s">
        <v>151</v>
      </c>
      <c r="F50" s="90"/>
      <c r="G50" s="79"/>
      <c r="H50" s="92"/>
      <c r="I50" s="83" t="s">
        <v>217</v>
      </c>
      <c r="J50" s="49"/>
      <c r="K50" s="31" t="s">
        <v>39</v>
      </c>
      <c r="L50" s="31" t="s">
        <v>124</v>
      </c>
      <c r="M50" s="90"/>
      <c r="N50" s="79"/>
      <c r="O50" s="92"/>
      <c r="P50" s="83" t="s">
        <v>217</v>
      </c>
      <c r="Q50" s="49"/>
      <c r="R50" s="31"/>
      <c r="S50" s="31"/>
      <c r="T50" s="90"/>
      <c r="U50" s="79"/>
    </row>
    <row r="51">
      <c r="A51" s="92"/>
      <c r="B51" s="83" t="s">
        <v>218</v>
      </c>
      <c r="C51" s="49"/>
      <c r="D51" s="31" t="s">
        <v>23</v>
      </c>
      <c r="E51" s="31" t="s">
        <v>67</v>
      </c>
      <c r="F51" s="90"/>
      <c r="G51" s="79"/>
      <c r="H51" s="92"/>
      <c r="I51" s="83" t="s">
        <v>218</v>
      </c>
      <c r="J51" s="49"/>
      <c r="K51" s="31"/>
      <c r="L51" s="31"/>
      <c r="M51" s="90" t="s">
        <v>227</v>
      </c>
      <c r="N51" s="79"/>
      <c r="O51" s="92"/>
      <c r="P51" s="83" t="s">
        <v>218</v>
      </c>
      <c r="Q51" s="49"/>
      <c r="R51" s="31"/>
      <c r="S51" s="31"/>
      <c r="T51" s="90"/>
      <c r="U51" s="79"/>
    </row>
    <row r="52">
      <c r="A52" s="92"/>
      <c r="B52" s="85" t="s">
        <v>218</v>
      </c>
      <c r="C52" s="86"/>
      <c r="D52" s="87" t="s">
        <v>48</v>
      </c>
      <c r="E52" s="87"/>
      <c r="F52" s="88"/>
      <c r="G52" s="89"/>
      <c r="H52" s="92"/>
      <c r="I52" s="85" t="s">
        <v>218</v>
      </c>
      <c r="J52" s="86"/>
      <c r="K52" s="87" t="s">
        <v>14</v>
      </c>
      <c r="L52" s="87" t="s">
        <v>65</v>
      </c>
      <c r="M52" s="88"/>
      <c r="N52" s="89"/>
      <c r="O52" s="92"/>
      <c r="P52" s="85" t="s">
        <v>218</v>
      </c>
      <c r="Q52" s="86"/>
      <c r="R52" s="87"/>
      <c r="S52" s="87"/>
      <c r="T52" s="88"/>
      <c r="U52" s="89"/>
    </row>
    <row r="53">
      <c r="H53" s="92"/>
      <c r="I53" s="92"/>
      <c r="J53" s="92"/>
      <c r="K53" s="92"/>
      <c r="L53" s="92"/>
      <c r="M53" s="92"/>
      <c r="N53" s="92"/>
      <c r="O53" s="92"/>
      <c r="P53" s="92"/>
      <c r="Q53" s="92"/>
      <c r="R53" s="92"/>
      <c r="S53" s="92"/>
      <c r="T53" s="92"/>
      <c r="U53" s="92"/>
    </row>
  </sheetData>
  <mergeCells count="177">
    <mergeCell ref="T16:U16"/>
    <mergeCell ref="Q18:S18"/>
    <mergeCell ref="T9:U9"/>
    <mergeCell ref="T10:U10"/>
    <mergeCell ref="T11:U11"/>
    <mergeCell ref="T12:U12"/>
    <mergeCell ref="T13:U13"/>
    <mergeCell ref="T14:U14"/>
    <mergeCell ref="T15:U15"/>
    <mergeCell ref="F15:G15"/>
    <mergeCell ref="F16:G16"/>
    <mergeCell ref="C18:E18"/>
    <mergeCell ref="F18:G20"/>
    <mergeCell ref="C19:E19"/>
    <mergeCell ref="F21:G21"/>
    <mergeCell ref="F22:G22"/>
    <mergeCell ref="C30:E30"/>
    <mergeCell ref="C31:E31"/>
    <mergeCell ref="C42:E42"/>
    <mergeCell ref="C43:E43"/>
    <mergeCell ref="F23:G23"/>
    <mergeCell ref="F24:G24"/>
    <mergeCell ref="F25:G25"/>
    <mergeCell ref="F26:G26"/>
    <mergeCell ref="F27:G27"/>
    <mergeCell ref="F28:G28"/>
    <mergeCell ref="F30:G32"/>
    <mergeCell ref="F33:G33"/>
    <mergeCell ref="F34:G34"/>
    <mergeCell ref="F35:G35"/>
    <mergeCell ref="F36:G36"/>
    <mergeCell ref="F37:G37"/>
    <mergeCell ref="F38:G38"/>
    <mergeCell ref="F39:G39"/>
    <mergeCell ref="F50:G50"/>
    <mergeCell ref="F51:G51"/>
    <mergeCell ref="F52:G52"/>
    <mergeCell ref="F40:G40"/>
    <mergeCell ref="F42:G44"/>
    <mergeCell ref="F45:G45"/>
    <mergeCell ref="F46:G46"/>
    <mergeCell ref="F47:G47"/>
    <mergeCell ref="F48:G48"/>
    <mergeCell ref="F49:G49"/>
    <mergeCell ref="AA21:AB21"/>
    <mergeCell ref="AA22:AB22"/>
    <mergeCell ref="AA23:AB23"/>
    <mergeCell ref="AA24:AB24"/>
    <mergeCell ref="AA25:AB25"/>
    <mergeCell ref="AA26:AB26"/>
    <mergeCell ref="AA27:AB27"/>
    <mergeCell ref="AA30:AB32"/>
    <mergeCell ref="AA33:AB33"/>
    <mergeCell ref="AA34:AB34"/>
    <mergeCell ref="AA35:AB35"/>
    <mergeCell ref="AA36:AB36"/>
    <mergeCell ref="AA37:AB37"/>
    <mergeCell ref="AA38:AB38"/>
    <mergeCell ref="AA47:AB47"/>
    <mergeCell ref="AA48:AB48"/>
    <mergeCell ref="AA49:AB49"/>
    <mergeCell ref="AA50:AB50"/>
    <mergeCell ref="AA51:AB51"/>
    <mergeCell ref="AA52:AB52"/>
    <mergeCell ref="AA39:AB39"/>
    <mergeCell ref="AA40:AB40"/>
    <mergeCell ref="X42:Z42"/>
    <mergeCell ref="AA42:AB44"/>
    <mergeCell ref="X43:Z43"/>
    <mergeCell ref="AA45:AB45"/>
    <mergeCell ref="AA46:AB46"/>
    <mergeCell ref="B1:U4"/>
    <mergeCell ref="C6:E6"/>
    <mergeCell ref="M6:N8"/>
    <mergeCell ref="Q6:S6"/>
    <mergeCell ref="T6:U8"/>
    <mergeCell ref="C7:E7"/>
    <mergeCell ref="Q7:S7"/>
    <mergeCell ref="X6:Z6"/>
    <mergeCell ref="AA6:AB8"/>
    <mergeCell ref="X7:Z7"/>
    <mergeCell ref="AA9:AB9"/>
    <mergeCell ref="AA10:AB10"/>
    <mergeCell ref="AA11:AB11"/>
    <mergeCell ref="AA12:AB12"/>
    <mergeCell ref="J6:L6"/>
    <mergeCell ref="J7:L7"/>
    <mergeCell ref="M9:N9"/>
    <mergeCell ref="M10:N10"/>
    <mergeCell ref="M11:N11"/>
    <mergeCell ref="M12:N12"/>
    <mergeCell ref="M13:N13"/>
    <mergeCell ref="F6:G8"/>
    <mergeCell ref="F9:G9"/>
    <mergeCell ref="F10:G10"/>
    <mergeCell ref="F11:G11"/>
    <mergeCell ref="F12:G12"/>
    <mergeCell ref="F13:G13"/>
    <mergeCell ref="F14:G14"/>
    <mergeCell ref="T21:U21"/>
    <mergeCell ref="T22:U22"/>
    <mergeCell ref="M23:N23"/>
    <mergeCell ref="T23:U23"/>
    <mergeCell ref="AA13:AB13"/>
    <mergeCell ref="AA14:AB14"/>
    <mergeCell ref="AA15:AB15"/>
    <mergeCell ref="AA16:AB16"/>
    <mergeCell ref="X18:Z18"/>
    <mergeCell ref="AA18:AB20"/>
    <mergeCell ref="X19:Z19"/>
    <mergeCell ref="AA28:AB28"/>
    <mergeCell ref="X30:Z30"/>
    <mergeCell ref="X31:Z31"/>
    <mergeCell ref="M45:N45"/>
    <mergeCell ref="M46:N46"/>
    <mergeCell ref="M47:N47"/>
    <mergeCell ref="M48:N48"/>
    <mergeCell ref="M49:N49"/>
    <mergeCell ref="M50:N50"/>
    <mergeCell ref="M51:N51"/>
    <mergeCell ref="M52:N52"/>
    <mergeCell ref="M39:N39"/>
    <mergeCell ref="M40:N40"/>
    <mergeCell ref="J42:L42"/>
    <mergeCell ref="M42:N44"/>
    <mergeCell ref="Q42:S42"/>
    <mergeCell ref="J43:L43"/>
    <mergeCell ref="Q43:S43"/>
    <mergeCell ref="M14:N14"/>
    <mergeCell ref="M15:N15"/>
    <mergeCell ref="M16:N16"/>
    <mergeCell ref="J18:L18"/>
    <mergeCell ref="T18:U20"/>
    <mergeCell ref="J19:L19"/>
    <mergeCell ref="Q19:S19"/>
    <mergeCell ref="M28:N28"/>
    <mergeCell ref="J30:L30"/>
    <mergeCell ref="Q30:S30"/>
    <mergeCell ref="J31:L31"/>
    <mergeCell ref="Q31:S31"/>
    <mergeCell ref="M18:N20"/>
    <mergeCell ref="M21:N21"/>
    <mergeCell ref="M22:N22"/>
    <mergeCell ref="M24:N24"/>
    <mergeCell ref="M25:N25"/>
    <mergeCell ref="M26:N26"/>
    <mergeCell ref="M27:N27"/>
    <mergeCell ref="T24:U24"/>
    <mergeCell ref="T25:U25"/>
    <mergeCell ref="T26:U26"/>
    <mergeCell ref="T27:U27"/>
    <mergeCell ref="T28:U28"/>
    <mergeCell ref="T30:U32"/>
    <mergeCell ref="T33:U33"/>
    <mergeCell ref="M30:N32"/>
    <mergeCell ref="M33:N33"/>
    <mergeCell ref="M34:N34"/>
    <mergeCell ref="M35:N35"/>
    <mergeCell ref="M36:N36"/>
    <mergeCell ref="M37:N37"/>
    <mergeCell ref="M38:N38"/>
    <mergeCell ref="T34:U34"/>
    <mergeCell ref="T35:U35"/>
    <mergeCell ref="T36:U36"/>
    <mergeCell ref="T37:U37"/>
    <mergeCell ref="T38:U38"/>
    <mergeCell ref="T39:U39"/>
    <mergeCell ref="T40:U40"/>
    <mergeCell ref="T51:U51"/>
    <mergeCell ref="T52:U52"/>
    <mergeCell ref="T42:U44"/>
    <mergeCell ref="T45:U45"/>
    <mergeCell ref="T46:U46"/>
    <mergeCell ref="T47:U47"/>
    <mergeCell ref="T48:U48"/>
    <mergeCell ref="T49:U49"/>
    <mergeCell ref="T50:U50"/>
  </mergeCells>
  <dataValidations>
    <dataValidation type="list" allowBlank="1" showErrorMessage="1" sqref="D9:D16 K9:K16 R9:R16 D21:D28 K21:K28 R21:R28 D33:D40 K33:K40 R33:R40 D45:D52 K45:K52 R45:R52">
      <formula1>'暱稱'!$A$6:$A$101</formula1>
    </dataValidation>
    <dataValidation type="list" allowBlank="1" showErrorMessage="1" sqref="E9:E16 L9:L16 S9:S16 E21:E28 L21:L28 S21:S28 E33:E40 L33:L40 S33:S40 E45:E52 L45:L52 S45:S52">
      <formula1>"狂戰士,毀滅者,督軍,聖騎士,屠殺者,女巫,卡牌魔術師,吟遊詩人,召喚師,鬥士,格鬥大師,拳霸,氣功師,槍術士,拳剎,鷹眼,槍炮大師,惡魔獵手,神槍手,偵察士,刀鋒,半魔人,噬魂者,影殺者,畫家,氣象術士,幻獸師"</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4" max="5" width="19.5"/>
    <col customWidth="1" min="11" max="12" width="19.5"/>
  </cols>
  <sheetData>
    <row r="1">
      <c r="A1" s="71"/>
      <c r="B1" s="94" t="s">
        <v>233</v>
      </c>
      <c r="O1" s="92"/>
    </row>
    <row r="2">
      <c r="A2" s="92"/>
      <c r="O2" s="92"/>
    </row>
    <row r="3">
      <c r="A3" s="92"/>
      <c r="O3" s="92"/>
    </row>
    <row r="4">
      <c r="A4" s="92"/>
      <c r="O4" s="92"/>
    </row>
    <row r="5" ht="18.0" customHeight="1">
      <c r="O5" s="92"/>
    </row>
    <row r="6" ht="18.75" customHeight="1">
      <c r="A6" s="71" t="b">
        <v>1</v>
      </c>
      <c r="B6" s="72" t="s">
        <v>211</v>
      </c>
      <c r="C6" s="73">
        <v>45995.0</v>
      </c>
      <c r="D6" s="74"/>
      <c r="E6" s="74"/>
      <c r="F6" s="75" t="s">
        <v>212</v>
      </c>
      <c r="G6" s="76"/>
      <c r="H6" s="71" t="b">
        <v>1</v>
      </c>
      <c r="I6" s="72" t="s">
        <v>211</v>
      </c>
      <c r="J6" s="73">
        <v>45998.0</v>
      </c>
      <c r="K6" s="74"/>
      <c r="L6" s="74"/>
      <c r="M6" s="75" t="s">
        <v>212</v>
      </c>
      <c r="N6" s="76"/>
    </row>
    <row r="7" ht="18.75" customHeight="1">
      <c r="A7" s="92"/>
      <c r="B7" s="77" t="s">
        <v>213</v>
      </c>
      <c r="C7" s="78" t="s">
        <v>234</v>
      </c>
      <c r="G7" s="79"/>
      <c r="H7" s="92"/>
      <c r="I7" s="77" t="s">
        <v>213</v>
      </c>
      <c r="J7" s="78" t="s">
        <v>219</v>
      </c>
      <c r="N7" s="79"/>
    </row>
    <row r="8">
      <c r="A8" s="92"/>
      <c r="B8" s="81" t="s">
        <v>215</v>
      </c>
      <c r="C8" s="82" t="s">
        <v>216</v>
      </c>
      <c r="D8" s="82" t="s">
        <v>1</v>
      </c>
      <c r="E8" s="82" t="s">
        <v>53</v>
      </c>
      <c r="G8" s="79"/>
      <c r="H8" s="92"/>
      <c r="I8" s="81" t="s">
        <v>215</v>
      </c>
      <c r="J8" s="82" t="s">
        <v>216</v>
      </c>
      <c r="K8" s="82" t="s">
        <v>1</v>
      </c>
      <c r="L8" s="82" t="s">
        <v>53</v>
      </c>
      <c r="N8" s="79"/>
    </row>
    <row r="9">
      <c r="A9" s="92"/>
      <c r="B9" s="83" t="s">
        <v>217</v>
      </c>
      <c r="C9" s="31"/>
      <c r="D9" s="31"/>
      <c r="E9" s="31"/>
      <c r="F9" s="90" t="s">
        <v>227</v>
      </c>
      <c r="G9" s="79"/>
      <c r="H9" s="92"/>
      <c r="I9" s="83" t="s">
        <v>217</v>
      </c>
      <c r="J9" s="31"/>
      <c r="K9" s="31"/>
      <c r="L9" s="31" t="s">
        <v>99</v>
      </c>
      <c r="M9" s="90" t="s">
        <v>227</v>
      </c>
      <c r="N9" s="79"/>
    </row>
    <row r="10">
      <c r="A10" s="92"/>
      <c r="B10" s="83" t="s">
        <v>217</v>
      </c>
      <c r="C10" s="49"/>
      <c r="D10" s="31" t="s">
        <v>17</v>
      </c>
      <c r="E10" s="31" t="s">
        <v>60</v>
      </c>
      <c r="F10" s="90"/>
      <c r="G10" s="79"/>
      <c r="H10" s="92"/>
      <c r="I10" s="83" t="s">
        <v>217</v>
      </c>
      <c r="J10" s="49"/>
      <c r="K10" s="31" t="s">
        <v>17</v>
      </c>
      <c r="L10" s="31" t="s">
        <v>97</v>
      </c>
      <c r="M10" s="90" t="s">
        <v>235</v>
      </c>
      <c r="N10" s="79"/>
    </row>
    <row r="11">
      <c r="A11" s="92"/>
      <c r="B11" s="83" t="s">
        <v>217</v>
      </c>
      <c r="C11" s="49"/>
      <c r="D11" s="31" t="s">
        <v>29</v>
      </c>
      <c r="E11" s="31" t="s">
        <v>63</v>
      </c>
      <c r="F11" s="90"/>
      <c r="G11" s="79"/>
      <c r="H11" s="92"/>
      <c r="I11" s="83" t="s">
        <v>217</v>
      </c>
      <c r="J11" s="49"/>
      <c r="K11" s="31" t="s">
        <v>29</v>
      </c>
      <c r="L11" s="31" t="s">
        <v>69</v>
      </c>
      <c r="M11" s="90"/>
      <c r="N11" s="79"/>
    </row>
    <row r="12">
      <c r="A12" s="92"/>
      <c r="B12" s="83" t="s">
        <v>217</v>
      </c>
      <c r="C12" s="49"/>
      <c r="D12" s="31" t="s">
        <v>25</v>
      </c>
      <c r="E12" s="31" t="s">
        <v>80</v>
      </c>
      <c r="F12" s="90"/>
      <c r="G12" s="79"/>
      <c r="H12" s="92"/>
      <c r="I12" s="83" t="s">
        <v>217</v>
      </c>
      <c r="J12" s="49"/>
      <c r="K12" s="31" t="s">
        <v>25</v>
      </c>
      <c r="L12" s="31" t="s">
        <v>151</v>
      </c>
      <c r="M12" s="90"/>
      <c r="N12" s="79"/>
    </row>
    <row r="13">
      <c r="A13" s="92"/>
      <c r="B13" s="83" t="s">
        <v>217</v>
      </c>
      <c r="C13" s="49"/>
      <c r="D13" s="31">
        <v>5688.0</v>
      </c>
      <c r="E13" s="31"/>
      <c r="F13" s="90"/>
      <c r="G13" s="79"/>
      <c r="H13" s="92"/>
      <c r="I13" s="83" t="s">
        <v>217</v>
      </c>
      <c r="J13" s="49"/>
      <c r="K13" s="31" t="s">
        <v>49</v>
      </c>
      <c r="L13" s="31" t="s">
        <v>63</v>
      </c>
      <c r="M13" s="90"/>
      <c r="N13" s="79"/>
    </row>
    <row r="14">
      <c r="A14" s="92"/>
      <c r="B14" s="83" t="s">
        <v>217</v>
      </c>
      <c r="C14" s="49"/>
      <c r="D14" s="31" t="s">
        <v>39</v>
      </c>
      <c r="E14" s="31" t="s">
        <v>124</v>
      </c>
      <c r="F14" s="90"/>
      <c r="G14" s="79"/>
      <c r="H14" s="92"/>
      <c r="I14" s="83" t="s">
        <v>217</v>
      </c>
      <c r="J14" s="49"/>
      <c r="K14" s="31" t="s">
        <v>39</v>
      </c>
      <c r="L14" s="31" t="s">
        <v>194</v>
      </c>
      <c r="M14" s="90"/>
      <c r="N14" s="79"/>
    </row>
    <row r="15">
      <c r="A15" s="92"/>
      <c r="B15" s="83" t="s">
        <v>218</v>
      </c>
      <c r="C15" s="49"/>
      <c r="D15" s="31" t="s">
        <v>48</v>
      </c>
      <c r="E15" s="31"/>
      <c r="F15" s="90"/>
      <c r="G15" s="79"/>
      <c r="H15" s="92"/>
      <c r="I15" s="83" t="s">
        <v>218</v>
      </c>
      <c r="J15" s="49"/>
      <c r="K15" s="31" t="s">
        <v>35</v>
      </c>
      <c r="L15" s="31" t="s">
        <v>67</v>
      </c>
      <c r="M15" s="90"/>
      <c r="N15" s="79"/>
    </row>
    <row r="16">
      <c r="A16" s="92"/>
      <c r="B16" s="85" t="s">
        <v>218</v>
      </c>
      <c r="C16" s="86"/>
      <c r="D16" s="87" t="s">
        <v>10</v>
      </c>
      <c r="E16" s="87" t="s">
        <v>65</v>
      </c>
      <c r="F16" s="88"/>
      <c r="G16" s="89"/>
      <c r="H16" s="92"/>
      <c r="I16" s="85" t="s">
        <v>218</v>
      </c>
      <c r="J16" s="86"/>
      <c r="K16" s="87" t="s">
        <v>10</v>
      </c>
      <c r="L16" s="87" t="s">
        <v>65</v>
      </c>
      <c r="M16" s="88"/>
      <c r="N16" s="89"/>
    </row>
    <row r="17">
      <c r="A17" s="92"/>
      <c r="B17" s="92"/>
      <c r="C17" s="92"/>
      <c r="D17" s="92"/>
      <c r="E17" s="92"/>
      <c r="F17" s="92"/>
      <c r="G17" s="92"/>
    </row>
    <row r="18">
      <c r="A18" s="71" t="b">
        <v>1</v>
      </c>
      <c r="B18" s="72" t="s">
        <v>211</v>
      </c>
      <c r="C18" s="73">
        <v>45997.0</v>
      </c>
      <c r="D18" s="74"/>
      <c r="E18" s="74"/>
      <c r="F18" s="75" t="s">
        <v>212</v>
      </c>
      <c r="G18" s="76"/>
      <c r="H18" s="71" t="b">
        <v>0</v>
      </c>
      <c r="I18" s="72" t="s">
        <v>211</v>
      </c>
      <c r="J18" s="73">
        <v>45998.0</v>
      </c>
      <c r="K18" s="74"/>
      <c r="L18" s="74"/>
      <c r="M18" s="75" t="s">
        <v>212</v>
      </c>
      <c r="N18" s="76"/>
    </row>
    <row r="19">
      <c r="A19" s="92"/>
      <c r="B19" s="77" t="s">
        <v>213</v>
      </c>
      <c r="C19" s="78" t="s">
        <v>236</v>
      </c>
      <c r="G19" s="79"/>
      <c r="H19" s="92"/>
      <c r="I19" s="77" t="s">
        <v>213</v>
      </c>
      <c r="J19" s="78" t="s">
        <v>219</v>
      </c>
      <c r="N19" s="79"/>
    </row>
    <row r="20">
      <c r="A20" s="92"/>
      <c r="B20" s="81" t="s">
        <v>215</v>
      </c>
      <c r="C20" s="82" t="s">
        <v>216</v>
      </c>
      <c r="D20" s="82" t="s">
        <v>1</v>
      </c>
      <c r="E20" s="82" t="s">
        <v>53</v>
      </c>
      <c r="G20" s="79"/>
      <c r="H20" s="92"/>
      <c r="I20" s="81" t="s">
        <v>215</v>
      </c>
      <c r="J20" s="82" t="s">
        <v>216</v>
      </c>
      <c r="K20" s="82" t="s">
        <v>1</v>
      </c>
      <c r="L20" s="82" t="s">
        <v>53</v>
      </c>
      <c r="N20" s="79"/>
    </row>
    <row r="21">
      <c r="A21" s="92"/>
      <c r="B21" s="83" t="s">
        <v>217</v>
      </c>
      <c r="C21" s="31"/>
      <c r="D21" s="31" t="s">
        <v>39</v>
      </c>
      <c r="E21" s="31" t="s">
        <v>73</v>
      </c>
      <c r="F21" s="90" t="s">
        <v>235</v>
      </c>
      <c r="G21" s="79"/>
      <c r="H21" s="92"/>
      <c r="I21" s="83" t="s">
        <v>217</v>
      </c>
      <c r="J21" s="31"/>
      <c r="K21" s="31" t="s">
        <v>19</v>
      </c>
      <c r="L21" s="31" t="s">
        <v>61</v>
      </c>
      <c r="M21" s="90" t="s">
        <v>235</v>
      </c>
      <c r="N21" s="79"/>
    </row>
    <row r="22">
      <c r="A22" s="92"/>
      <c r="B22" s="83" t="s">
        <v>217</v>
      </c>
      <c r="C22" s="49"/>
      <c r="D22" s="31" t="s">
        <v>31</v>
      </c>
      <c r="E22" s="31" t="s">
        <v>90</v>
      </c>
      <c r="F22" s="90"/>
      <c r="G22" s="79"/>
      <c r="H22" s="92"/>
      <c r="I22" s="83" t="s">
        <v>217</v>
      </c>
      <c r="J22" s="49"/>
      <c r="K22" s="31"/>
      <c r="L22" s="31"/>
      <c r="M22" s="90" t="s">
        <v>227</v>
      </c>
      <c r="N22" s="79"/>
    </row>
    <row r="23">
      <c r="A23" s="92"/>
      <c r="B23" s="83" t="s">
        <v>217</v>
      </c>
      <c r="C23" s="49"/>
      <c r="D23" s="31" t="s">
        <v>23</v>
      </c>
      <c r="E23" s="31" t="s">
        <v>82</v>
      </c>
      <c r="F23" s="90"/>
      <c r="G23" s="79"/>
      <c r="H23" s="92"/>
      <c r="I23" s="83" t="s">
        <v>217</v>
      </c>
      <c r="J23" s="49"/>
      <c r="K23" s="31" t="s">
        <v>29</v>
      </c>
      <c r="L23" s="31" t="s">
        <v>95</v>
      </c>
      <c r="M23" s="90"/>
      <c r="N23" s="79"/>
    </row>
    <row r="24">
      <c r="A24" s="92"/>
      <c r="B24" s="83" t="s">
        <v>217</v>
      </c>
      <c r="C24" s="49"/>
      <c r="D24" s="31" t="s">
        <v>35</v>
      </c>
      <c r="E24" s="31" t="s">
        <v>139</v>
      </c>
      <c r="F24" s="90"/>
      <c r="G24" s="79"/>
      <c r="H24" s="92"/>
      <c r="I24" s="83" t="s">
        <v>217</v>
      </c>
      <c r="J24" s="49"/>
      <c r="K24" s="31" t="s">
        <v>14</v>
      </c>
      <c r="L24" s="31" t="s">
        <v>121</v>
      </c>
      <c r="M24" s="90"/>
      <c r="N24" s="79"/>
    </row>
    <row r="25">
      <c r="A25" s="92"/>
      <c r="B25" s="83" t="s">
        <v>217</v>
      </c>
      <c r="C25" s="49"/>
      <c r="D25" s="31" t="s">
        <v>17</v>
      </c>
      <c r="E25" s="31" t="s">
        <v>90</v>
      </c>
      <c r="F25" s="90"/>
      <c r="G25" s="79"/>
      <c r="H25" s="92"/>
      <c r="I25" s="83" t="s">
        <v>217</v>
      </c>
      <c r="J25" s="49"/>
      <c r="K25" s="31" t="s">
        <v>49</v>
      </c>
      <c r="L25" s="31" t="s">
        <v>97</v>
      </c>
      <c r="M25" s="90"/>
      <c r="N25" s="79"/>
    </row>
    <row r="26">
      <c r="A26" s="92"/>
      <c r="B26" s="83" t="s">
        <v>217</v>
      </c>
      <c r="C26" s="49"/>
      <c r="D26" s="31" t="s">
        <v>49</v>
      </c>
      <c r="E26" s="31" t="s">
        <v>124</v>
      </c>
      <c r="F26" s="90"/>
      <c r="G26" s="79"/>
      <c r="H26" s="92"/>
      <c r="I26" s="83" t="s">
        <v>217</v>
      </c>
      <c r="J26" s="49"/>
      <c r="K26" s="31"/>
      <c r="L26" s="31"/>
      <c r="M26" s="90"/>
      <c r="N26" s="79"/>
    </row>
    <row r="27">
      <c r="A27" s="92"/>
      <c r="B27" s="83" t="s">
        <v>218</v>
      </c>
      <c r="C27" s="49"/>
      <c r="D27" s="31" t="s">
        <v>10</v>
      </c>
      <c r="E27" s="31" t="s">
        <v>65</v>
      </c>
      <c r="F27" s="90"/>
      <c r="G27" s="79"/>
      <c r="H27" s="92"/>
      <c r="I27" s="83" t="s">
        <v>218</v>
      </c>
      <c r="J27" s="49"/>
      <c r="K27" s="31" t="s">
        <v>25</v>
      </c>
      <c r="L27" s="31" t="s">
        <v>65</v>
      </c>
      <c r="M27" s="90"/>
      <c r="N27" s="79"/>
    </row>
    <row r="28">
      <c r="A28" s="92"/>
      <c r="B28" s="85" t="s">
        <v>218</v>
      </c>
      <c r="C28" s="86"/>
      <c r="D28" s="87"/>
      <c r="E28" s="87"/>
      <c r="F28" s="91" t="s">
        <v>227</v>
      </c>
      <c r="G28" s="89"/>
      <c r="H28" s="92"/>
      <c r="I28" s="85" t="s">
        <v>218</v>
      </c>
      <c r="J28" s="86"/>
      <c r="K28" s="87" t="s">
        <v>17</v>
      </c>
      <c r="L28" s="87" t="s">
        <v>67</v>
      </c>
      <c r="M28" s="88"/>
      <c r="N28" s="89"/>
    </row>
    <row r="29">
      <c r="H29" s="92"/>
      <c r="I29" s="92"/>
      <c r="J29" s="92"/>
      <c r="K29" s="92"/>
      <c r="L29" s="92"/>
      <c r="M29" s="92"/>
      <c r="N29" s="92"/>
    </row>
    <row r="30">
      <c r="A30" s="71" t="b">
        <v>1</v>
      </c>
      <c r="B30" s="72" t="s">
        <v>211</v>
      </c>
      <c r="C30" s="73">
        <v>45998.0</v>
      </c>
      <c r="D30" s="74"/>
      <c r="E30" s="74"/>
      <c r="F30" s="75" t="s">
        <v>212</v>
      </c>
      <c r="G30" s="76"/>
      <c r="H30" s="71" t="b">
        <v>1</v>
      </c>
      <c r="I30" s="72" t="s">
        <v>211</v>
      </c>
      <c r="J30" s="73">
        <v>45998.0</v>
      </c>
      <c r="K30" s="74"/>
      <c r="L30" s="74"/>
      <c r="M30" s="75" t="s">
        <v>212</v>
      </c>
      <c r="N30" s="76"/>
    </row>
    <row r="31">
      <c r="A31" s="92"/>
      <c r="B31" s="77" t="s">
        <v>213</v>
      </c>
      <c r="C31" s="80">
        <v>0.8333333333333334</v>
      </c>
      <c r="G31" s="79"/>
      <c r="H31" s="92"/>
      <c r="I31" s="77" t="s">
        <v>213</v>
      </c>
      <c r="J31" s="78" t="s">
        <v>219</v>
      </c>
      <c r="N31" s="79"/>
    </row>
    <row r="32">
      <c r="A32" s="92"/>
      <c r="B32" s="81" t="s">
        <v>215</v>
      </c>
      <c r="C32" s="82" t="s">
        <v>216</v>
      </c>
      <c r="D32" s="82" t="s">
        <v>1</v>
      </c>
      <c r="E32" s="82" t="s">
        <v>53</v>
      </c>
      <c r="G32" s="79"/>
      <c r="H32" s="92"/>
      <c r="I32" s="81" t="s">
        <v>215</v>
      </c>
      <c r="J32" s="82" t="s">
        <v>216</v>
      </c>
      <c r="K32" s="82" t="s">
        <v>1</v>
      </c>
      <c r="L32" s="82" t="s">
        <v>53</v>
      </c>
      <c r="N32" s="79"/>
    </row>
    <row r="33">
      <c r="A33" s="92"/>
      <c r="B33" s="83" t="s">
        <v>217</v>
      </c>
      <c r="C33" s="31"/>
      <c r="D33" s="31">
        <v>5688.0</v>
      </c>
      <c r="E33" s="31"/>
      <c r="F33" s="90" t="s">
        <v>232</v>
      </c>
      <c r="G33" s="79"/>
      <c r="H33" s="92"/>
      <c r="I33" s="83" t="s">
        <v>217</v>
      </c>
      <c r="J33" s="31"/>
      <c r="K33" s="31">
        <v>5688.0</v>
      </c>
      <c r="L33" s="31"/>
      <c r="M33" s="90" t="s">
        <v>232</v>
      </c>
      <c r="N33" s="79"/>
    </row>
    <row r="34">
      <c r="A34" s="92"/>
      <c r="B34" s="83" t="s">
        <v>217</v>
      </c>
      <c r="C34" s="49"/>
      <c r="D34" s="31" t="s">
        <v>23</v>
      </c>
      <c r="E34" s="31" t="s">
        <v>69</v>
      </c>
      <c r="F34" s="90"/>
      <c r="G34" s="79"/>
      <c r="H34" s="92"/>
      <c r="I34" s="83" t="s">
        <v>217</v>
      </c>
      <c r="J34" s="49"/>
      <c r="K34" s="31" t="s">
        <v>48</v>
      </c>
      <c r="L34" s="31" t="s">
        <v>99</v>
      </c>
      <c r="M34" s="90"/>
      <c r="N34" s="79"/>
    </row>
    <row r="35">
      <c r="A35" s="92"/>
      <c r="B35" s="83" t="s">
        <v>217</v>
      </c>
      <c r="C35" s="49"/>
      <c r="D35" s="31" t="s">
        <v>29</v>
      </c>
      <c r="E35" s="31" t="s">
        <v>84</v>
      </c>
      <c r="F35" s="90"/>
      <c r="G35" s="79"/>
      <c r="H35" s="92"/>
      <c r="I35" s="83" t="s">
        <v>217</v>
      </c>
      <c r="J35" s="49"/>
      <c r="K35" s="31" t="s">
        <v>25</v>
      </c>
      <c r="L35" s="31" t="s">
        <v>69</v>
      </c>
      <c r="M35" s="90"/>
      <c r="N35" s="79"/>
    </row>
    <row r="36">
      <c r="A36" s="92"/>
      <c r="B36" s="83" t="s">
        <v>217</v>
      </c>
      <c r="C36" s="49"/>
      <c r="D36" s="31" t="s">
        <v>17</v>
      </c>
      <c r="E36" s="31" t="s">
        <v>84</v>
      </c>
      <c r="F36" s="90"/>
      <c r="G36" s="79"/>
      <c r="H36" s="92"/>
      <c r="I36" s="83" t="s">
        <v>217</v>
      </c>
      <c r="J36" s="49"/>
      <c r="K36" s="31" t="s">
        <v>29</v>
      </c>
      <c r="L36" s="31" t="s">
        <v>99</v>
      </c>
      <c r="M36" s="90"/>
      <c r="N36" s="79"/>
    </row>
    <row r="37">
      <c r="A37" s="92"/>
      <c r="B37" s="83" t="s">
        <v>217</v>
      </c>
      <c r="C37" s="49"/>
      <c r="D37" s="31" t="s">
        <v>31</v>
      </c>
      <c r="E37" s="31" t="s">
        <v>73</v>
      </c>
      <c r="F37" s="90"/>
      <c r="G37" s="79"/>
      <c r="H37" s="92"/>
      <c r="I37" s="83" t="s">
        <v>217</v>
      </c>
      <c r="J37" s="49"/>
      <c r="K37" s="31" t="s">
        <v>26</v>
      </c>
      <c r="L37" s="31" t="s">
        <v>84</v>
      </c>
      <c r="M37" s="90"/>
      <c r="N37" s="79"/>
    </row>
    <row r="38">
      <c r="A38" s="92"/>
      <c r="B38" s="83" t="s">
        <v>217</v>
      </c>
      <c r="C38" s="49"/>
      <c r="D38" s="31"/>
      <c r="E38" s="31"/>
      <c r="F38" s="90" t="s">
        <v>227</v>
      </c>
      <c r="G38" s="79"/>
      <c r="H38" s="92"/>
      <c r="I38" s="83" t="s">
        <v>217</v>
      </c>
      <c r="J38" s="49"/>
      <c r="K38" s="31" t="s">
        <v>31</v>
      </c>
      <c r="L38" s="31" t="s">
        <v>60</v>
      </c>
      <c r="M38" s="90"/>
      <c r="N38" s="79"/>
    </row>
    <row r="39">
      <c r="A39" s="92"/>
      <c r="B39" s="83" t="s">
        <v>218</v>
      </c>
      <c r="C39" s="49"/>
      <c r="D39" s="31" t="s">
        <v>48</v>
      </c>
      <c r="E39" s="31"/>
      <c r="F39" s="90"/>
      <c r="G39" s="79"/>
      <c r="H39" s="92"/>
      <c r="I39" s="83" t="s">
        <v>218</v>
      </c>
      <c r="J39" s="49"/>
      <c r="K39" s="31" t="s">
        <v>49</v>
      </c>
      <c r="L39" s="31" t="s">
        <v>65</v>
      </c>
      <c r="M39" s="90"/>
      <c r="N39" s="79"/>
    </row>
    <row r="40">
      <c r="A40" s="92"/>
      <c r="B40" s="85" t="s">
        <v>218</v>
      </c>
      <c r="C40" s="86"/>
      <c r="D40" s="87" t="s">
        <v>25</v>
      </c>
      <c r="E40" s="87" t="s">
        <v>67</v>
      </c>
      <c r="F40" s="88"/>
      <c r="G40" s="89"/>
      <c r="H40" s="92"/>
      <c r="I40" s="85" t="s">
        <v>218</v>
      </c>
      <c r="J40" s="86"/>
      <c r="K40" s="87" t="s">
        <v>23</v>
      </c>
      <c r="L40" s="87" t="s">
        <v>67</v>
      </c>
      <c r="M40" s="88"/>
      <c r="N40" s="89"/>
    </row>
    <row r="41">
      <c r="A41" s="92"/>
      <c r="B41" s="92"/>
      <c r="C41" s="92"/>
      <c r="D41" s="92"/>
      <c r="E41" s="92"/>
      <c r="F41" s="92"/>
      <c r="G41" s="92"/>
      <c r="H41" s="92"/>
      <c r="I41" s="92"/>
      <c r="J41" s="92"/>
      <c r="K41" s="92"/>
      <c r="L41" s="92"/>
      <c r="M41" s="92"/>
      <c r="N41" s="92"/>
    </row>
    <row r="42">
      <c r="A42" s="71" t="b">
        <v>1</v>
      </c>
      <c r="B42" s="72" t="s">
        <v>211</v>
      </c>
      <c r="C42" s="73">
        <v>45998.0</v>
      </c>
      <c r="D42" s="74"/>
      <c r="E42" s="74"/>
      <c r="F42" s="75" t="s">
        <v>212</v>
      </c>
      <c r="G42" s="76"/>
      <c r="H42" s="71" t="b">
        <v>0</v>
      </c>
      <c r="I42" s="72" t="s">
        <v>211</v>
      </c>
      <c r="J42" s="73"/>
      <c r="K42" s="74"/>
      <c r="L42" s="74"/>
      <c r="M42" s="75" t="s">
        <v>212</v>
      </c>
      <c r="N42" s="76"/>
    </row>
    <row r="43">
      <c r="A43" s="92"/>
      <c r="B43" s="77" t="s">
        <v>213</v>
      </c>
      <c r="C43" s="78" t="s">
        <v>228</v>
      </c>
      <c r="G43" s="79"/>
      <c r="H43" s="92"/>
      <c r="I43" s="77" t="s">
        <v>213</v>
      </c>
      <c r="J43" s="78"/>
      <c r="N43" s="79"/>
    </row>
    <row r="44">
      <c r="A44" s="92"/>
      <c r="B44" s="81" t="s">
        <v>215</v>
      </c>
      <c r="C44" s="82" t="s">
        <v>216</v>
      </c>
      <c r="D44" s="82" t="s">
        <v>1</v>
      </c>
      <c r="E44" s="82" t="s">
        <v>53</v>
      </c>
      <c r="G44" s="79"/>
      <c r="H44" s="92"/>
      <c r="I44" s="81" t="s">
        <v>215</v>
      </c>
      <c r="J44" s="82" t="s">
        <v>216</v>
      </c>
      <c r="K44" s="82" t="s">
        <v>1</v>
      </c>
      <c r="L44" s="82" t="s">
        <v>53</v>
      </c>
      <c r="N44" s="79"/>
    </row>
    <row r="45">
      <c r="A45" s="92"/>
      <c r="B45" s="83" t="s">
        <v>217</v>
      </c>
      <c r="C45" s="31"/>
      <c r="D45" s="31" t="s">
        <v>35</v>
      </c>
      <c r="E45" s="31" t="s">
        <v>143</v>
      </c>
      <c r="F45" s="90" t="s">
        <v>235</v>
      </c>
      <c r="G45" s="79"/>
      <c r="H45" s="92"/>
      <c r="I45" s="83" t="s">
        <v>217</v>
      </c>
      <c r="J45" s="31"/>
      <c r="K45" s="31"/>
      <c r="L45" s="31"/>
      <c r="M45" s="90"/>
      <c r="N45" s="79"/>
    </row>
    <row r="46">
      <c r="A46" s="92"/>
      <c r="B46" s="83" t="s">
        <v>217</v>
      </c>
      <c r="C46" s="49"/>
      <c r="D46" s="31" t="s">
        <v>17</v>
      </c>
      <c r="E46" s="31" t="s">
        <v>90</v>
      </c>
      <c r="F46" s="90"/>
      <c r="G46" s="79"/>
      <c r="H46" s="92"/>
      <c r="I46" s="83" t="s">
        <v>217</v>
      </c>
      <c r="J46" s="49"/>
      <c r="K46" s="31"/>
      <c r="L46" s="31"/>
      <c r="M46" s="90"/>
      <c r="N46" s="79"/>
    </row>
    <row r="47">
      <c r="A47" s="92"/>
      <c r="B47" s="83" t="s">
        <v>217</v>
      </c>
      <c r="C47" s="49"/>
      <c r="D47" s="31" t="s">
        <v>29</v>
      </c>
      <c r="E47" s="31" t="s">
        <v>92</v>
      </c>
      <c r="F47" s="90"/>
      <c r="G47" s="79"/>
      <c r="H47" s="92"/>
      <c r="I47" s="83" t="s">
        <v>217</v>
      </c>
      <c r="J47" s="49"/>
      <c r="K47" s="31"/>
      <c r="L47" s="31"/>
      <c r="M47" s="90"/>
      <c r="N47" s="79"/>
    </row>
    <row r="48">
      <c r="A48" s="92"/>
      <c r="B48" s="83" t="s">
        <v>217</v>
      </c>
      <c r="C48" s="49"/>
      <c r="D48" s="31" t="s">
        <v>26</v>
      </c>
      <c r="E48" s="31" t="s">
        <v>73</v>
      </c>
      <c r="F48" s="90"/>
      <c r="G48" s="79"/>
      <c r="H48" s="92"/>
      <c r="I48" s="83" t="s">
        <v>217</v>
      </c>
      <c r="J48" s="49"/>
      <c r="K48" s="31"/>
      <c r="L48" s="31"/>
      <c r="M48" s="90"/>
      <c r="N48" s="79"/>
    </row>
    <row r="49">
      <c r="A49" s="92"/>
      <c r="B49" s="83" t="s">
        <v>217</v>
      </c>
      <c r="C49" s="49"/>
      <c r="D49" s="31" t="s">
        <v>49</v>
      </c>
      <c r="E49" s="31" t="s">
        <v>194</v>
      </c>
      <c r="F49" s="90"/>
      <c r="G49" s="79"/>
      <c r="H49" s="92"/>
      <c r="I49" s="83" t="s">
        <v>217</v>
      </c>
      <c r="J49" s="49"/>
      <c r="K49" s="31"/>
      <c r="L49" s="31"/>
      <c r="M49" s="90"/>
      <c r="N49" s="79"/>
    </row>
    <row r="50">
      <c r="A50" s="92"/>
      <c r="B50" s="83" t="s">
        <v>217</v>
      </c>
      <c r="C50" s="49"/>
      <c r="D50" s="31" t="s">
        <v>39</v>
      </c>
      <c r="E50" s="31" t="s">
        <v>69</v>
      </c>
      <c r="F50" s="90"/>
      <c r="G50" s="79"/>
      <c r="H50" s="92"/>
      <c r="I50" s="83" t="s">
        <v>217</v>
      </c>
      <c r="J50" s="49"/>
      <c r="K50" s="31"/>
      <c r="L50" s="31"/>
      <c r="M50" s="90"/>
      <c r="N50" s="79"/>
    </row>
    <row r="51">
      <c r="A51" s="92"/>
      <c r="B51" s="83" t="s">
        <v>218</v>
      </c>
      <c r="C51" s="49"/>
      <c r="D51" s="31" t="s">
        <v>25</v>
      </c>
      <c r="E51" s="31" t="s">
        <v>88</v>
      </c>
      <c r="F51" s="90"/>
      <c r="G51" s="79"/>
      <c r="H51" s="92"/>
      <c r="I51" s="83" t="s">
        <v>218</v>
      </c>
      <c r="J51" s="49"/>
      <c r="K51" s="31"/>
      <c r="L51" s="31"/>
      <c r="M51" s="90"/>
      <c r="N51" s="79"/>
    </row>
    <row r="52">
      <c r="A52" s="92"/>
      <c r="B52" s="85" t="s">
        <v>218</v>
      </c>
      <c r="C52" s="86"/>
      <c r="D52" s="87"/>
      <c r="E52" s="87"/>
      <c r="F52" s="91" t="s">
        <v>227</v>
      </c>
      <c r="G52" s="89"/>
      <c r="H52" s="92"/>
      <c r="I52" s="85" t="s">
        <v>218</v>
      </c>
      <c r="J52" s="86"/>
      <c r="K52" s="87"/>
      <c r="L52" s="87"/>
      <c r="M52" s="88"/>
      <c r="N52" s="89"/>
    </row>
    <row r="53">
      <c r="H53" s="92"/>
      <c r="I53" s="92"/>
      <c r="J53" s="92"/>
      <c r="K53" s="92"/>
      <c r="L53" s="92"/>
      <c r="M53" s="92"/>
      <c r="N53" s="92"/>
    </row>
  </sheetData>
  <mergeCells count="89">
    <mergeCell ref="F21:G21"/>
    <mergeCell ref="F22:G22"/>
    <mergeCell ref="F23:G23"/>
    <mergeCell ref="F24:G24"/>
    <mergeCell ref="F25:G25"/>
    <mergeCell ref="F26:G26"/>
    <mergeCell ref="F27:G27"/>
    <mergeCell ref="F30:G32"/>
    <mergeCell ref="F33:G33"/>
    <mergeCell ref="F34:G34"/>
    <mergeCell ref="F35:G35"/>
    <mergeCell ref="F36:G36"/>
    <mergeCell ref="F37:G37"/>
    <mergeCell ref="F38:G38"/>
    <mergeCell ref="F47:G47"/>
    <mergeCell ref="F48:G48"/>
    <mergeCell ref="F49:G49"/>
    <mergeCell ref="F50:G50"/>
    <mergeCell ref="F51:G51"/>
    <mergeCell ref="F52:G52"/>
    <mergeCell ref="F39:G39"/>
    <mergeCell ref="F40:G40"/>
    <mergeCell ref="C42:E42"/>
    <mergeCell ref="F42:G44"/>
    <mergeCell ref="C43:E43"/>
    <mergeCell ref="F45:G45"/>
    <mergeCell ref="F46:G46"/>
    <mergeCell ref="M30:N32"/>
    <mergeCell ref="M33:N33"/>
    <mergeCell ref="M34:N34"/>
    <mergeCell ref="M35:N35"/>
    <mergeCell ref="M36:N36"/>
    <mergeCell ref="M37:N37"/>
    <mergeCell ref="M38:N38"/>
    <mergeCell ref="M47:N47"/>
    <mergeCell ref="M48:N48"/>
    <mergeCell ref="M49:N49"/>
    <mergeCell ref="M50:N50"/>
    <mergeCell ref="M51:N51"/>
    <mergeCell ref="M52:N52"/>
    <mergeCell ref="M39:N39"/>
    <mergeCell ref="M40:N40"/>
    <mergeCell ref="J42:L42"/>
    <mergeCell ref="M42:N44"/>
    <mergeCell ref="J43:L43"/>
    <mergeCell ref="M45:N45"/>
    <mergeCell ref="M46:N46"/>
    <mergeCell ref="M6:N8"/>
    <mergeCell ref="M9:N9"/>
    <mergeCell ref="B1:N4"/>
    <mergeCell ref="C6:E6"/>
    <mergeCell ref="F6:G8"/>
    <mergeCell ref="J6:L6"/>
    <mergeCell ref="C7:E7"/>
    <mergeCell ref="J7:L7"/>
    <mergeCell ref="F9:G9"/>
    <mergeCell ref="F10:G10"/>
    <mergeCell ref="M10:N10"/>
    <mergeCell ref="F11:G11"/>
    <mergeCell ref="M11:N11"/>
    <mergeCell ref="F12:G12"/>
    <mergeCell ref="M12:N12"/>
    <mergeCell ref="M13:N13"/>
    <mergeCell ref="F13:G13"/>
    <mergeCell ref="F14:G14"/>
    <mergeCell ref="F15:G15"/>
    <mergeCell ref="F16:G16"/>
    <mergeCell ref="C18:E18"/>
    <mergeCell ref="F18:G20"/>
    <mergeCell ref="C19:E19"/>
    <mergeCell ref="M14:N14"/>
    <mergeCell ref="M15:N15"/>
    <mergeCell ref="M16:N16"/>
    <mergeCell ref="J18:L18"/>
    <mergeCell ref="M18:N20"/>
    <mergeCell ref="J19:L19"/>
    <mergeCell ref="M21:N21"/>
    <mergeCell ref="F28:G28"/>
    <mergeCell ref="C30:E30"/>
    <mergeCell ref="J30:L30"/>
    <mergeCell ref="C31:E31"/>
    <mergeCell ref="J31:L31"/>
    <mergeCell ref="M22:N22"/>
    <mergeCell ref="M23:N23"/>
    <mergeCell ref="M24:N24"/>
    <mergeCell ref="M25:N25"/>
    <mergeCell ref="M26:N26"/>
    <mergeCell ref="M27:N27"/>
    <mergeCell ref="M28:N28"/>
  </mergeCells>
  <dataValidations>
    <dataValidation type="list" allowBlank="1" showErrorMessage="1" sqref="D9:D16 K9:K16 D21:D28 K21:K28 D33:D40 K33:K40 D45:D52 K45:K52">
      <formula1>'暱稱'!$A$6:$A$101</formula1>
    </dataValidation>
    <dataValidation type="list" allowBlank="1" showErrorMessage="1" sqref="E9:E16 L9:L16 E21:E28 L21:L28 E33:E40 L33:L40 E45:E52 L45:L52">
      <formula1>"狂戰士,毀滅者,督軍,聖騎士,屠殺者,女巫,卡牌魔術師,吟遊詩人,召喚師,鬥士,格鬥大師,拳霸,氣功師,槍術士,拳剎,鷹眼,槍炮大師,惡魔獵手,神槍手,偵察士,刀鋒,半魔人,噬魂者,影殺者,畫家,氣象術士,幻獸師"</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5" width="19.5"/>
    <col customWidth="1" min="11" max="12" width="19.5"/>
  </cols>
  <sheetData>
    <row r="1">
      <c r="A1" s="71"/>
      <c r="B1" s="95" t="s">
        <v>237</v>
      </c>
      <c r="O1" s="92"/>
    </row>
    <row r="2">
      <c r="A2" s="92"/>
      <c r="O2" s="92"/>
    </row>
    <row r="3">
      <c r="A3" s="92"/>
      <c r="O3" s="92"/>
    </row>
    <row r="4">
      <c r="A4" s="92"/>
      <c r="O4" s="92"/>
    </row>
    <row r="5" ht="18.0" customHeight="1">
      <c r="O5" s="92"/>
    </row>
    <row r="6" ht="18.75" customHeight="1">
      <c r="A6" s="71" t="b">
        <v>1</v>
      </c>
      <c r="B6" s="72" t="s">
        <v>211</v>
      </c>
      <c r="C6" s="73">
        <v>45996.0</v>
      </c>
      <c r="D6" s="74"/>
      <c r="E6" s="74"/>
      <c r="F6" s="75" t="s">
        <v>212</v>
      </c>
      <c r="G6" s="76"/>
      <c r="H6" s="71" t="b">
        <v>0</v>
      </c>
      <c r="I6" s="72" t="s">
        <v>211</v>
      </c>
      <c r="J6" s="73"/>
      <c r="K6" s="74"/>
      <c r="L6" s="74"/>
      <c r="M6" s="75" t="s">
        <v>212</v>
      </c>
      <c r="N6" s="76"/>
    </row>
    <row r="7" ht="18.75" customHeight="1">
      <c r="A7" s="92"/>
      <c r="B7" s="77" t="s">
        <v>213</v>
      </c>
      <c r="C7" s="78" t="s">
        <v>238</v>
      </c>
      <c r="G7" s="79"/>
      <c r="H7" s="92"/>
      <c r="I7" s="77" t="s">
        <v>213</v>
      </c>
      <c r="J7" s="78"/>
      <c r="N7" s="79"/>
    </row>
    <row r="8">
      <c r="A8" s="92"/>
      <c r="B8" s="81" t="s">
        <v>215</v>
      </c>
      <c r="C8" s="82" t="s">
        <v>216</v>
      </c>
      <c r="D8" s="82" t="s">
        <v>1</v>
      </c>
      <c r="E8" s="82" t="s">
        <v>53</v>
      </c>
      <c r="G8" s="79"/>
      <c r="H8" s="92"/>
      <c r="I8" s="81" t="s">
        <v>215</v>
      </c>
      <c r="J8" s="82" t="s">
        <v>216</v>
      </c>
      <c r="K8" s="82" t="s">
        <v>1</v>
      </c>
      <c r="L8" s="82" t="s">
        <v>53</v>
      </c>
      <c r="N8" s="79"/>
    </row>
    <row r="9">
      <c r="A9" s="92"/>
      <c r="B9" s="83" t="s">
        <v>217</v>
      </c>
      <c r="C9" s="31"/>
      <c r="D9" s="31" t="s">
        <v>31</v>
      </c>
      <c r="E9" s="31" t="s">
        <v>69</v>
      </c>
      <c r="F9" s="90"/>
      <c r="G9" s="79"/>
      <c r="H9" s="92"/>
      <c r="I9" s="83" t="s">
        <v>217</v>
      </c>
      <c r="J9" s="31"/>
      <c r="K9" s="31"/>
      <c r="L9" s="31"/>
      <c r="M9" s="90"/>
      <c r="N9" s="79"/>
    </row>
    <row r="10">
      <c r="A10" s="92"/>
      <c r="B10" s="83" t="s">
        <v>217</v>
      </c>
      <c r="C10" s="49"/>
      <c r="D10" s="31" t="s">
        <v>23</v>
      </c>
      <c r="E10" s="31" t="s">
        <v>73</v>
      </c>
      <c r="F10" s="90"/>
      <c r="G10" s="79"/>
      <c r="H10" s="92"/>
      <c r="I10" s="83" t="s">
        <v>217</v>
      </c>
      <c r="J10" s="49"/>
      <c r="K10" s="31"/>
      <c r="L10" s="31"/>
      <c r="M10" s="90"/>
      <c r="N10" s="79"/>
    </row>
    <row r="11">
      <c r="A11" s="92"/>
      <c r="B11" s="83" t="s">
        <v>217</v>
      </c>
      <c r="C11" s="49"/>
      <c r="D11" s="31"/>
      <c r="E11" s="31"/>
      <c r="F11" s="90"/>
      <c r="G11" s="79"/>
      <c r="H11" s="92"/>
      <c r="I11" s="83" t="s">
        <v>217</v>
      </c>
      <c r="J11" s="49"/>
      <c r="K11" s="31"/>
      <c r="L11" s="31"/>
      <c r="M11" s="90"/>
      <c r="N11" s="79"/>
    </row>
    <row r="12">
      <c r="A12" s="92"/>
      <c r="B12" s="83" t="s">
        <v>217</v>
      </c>
      <c r="C12" s="49"/>
      <c r="D12" s="31" t="s">
        <v>39</v>
      </c>
      <c r="E12" s="31" t="s">
        <v>124</v>
      </c>
      <c r="F12" s="90"/>
      <c r="G12" s="79"/>
      <c r="H12" s="92"/>
      <c r="I12" s="83" t="s">
        <v>217</v>
      </c>
      <c r="J12" s="49"/>
      <c r="K12" s="31"/>
      <c r="L12" s="31"/>
      <c r="M12" s="90"/>
      <c r="N12" s="79"/>
    </row>
    <row r="13">
      <c r="A13" s="92"/>
      <c r="B13" s="83" t="s">
        <v>217</v>
      </c>
      <c r="C13" s="49"/>
      <c r="D13" s="31"/>
      <c r="E13" s="31"/>
      <c r="F13" s="90"/>
      <c r="G13" s="79"/>
      <c r="H13" s="92"/>
      <c r="I13" s="83" t="s">
        <v>217</v>
      </c>
      <c r="J13" s="49"/>
      <c r="K13" s="31"/>
      <c r="L13" s="31"/>
      <c r="M13" s="90"/>
      <c r="N13" s="79"/>
    </row>
    <row r="14">
      <c r="A14" s="92"/>
      <c r="B14" s="83" t="s">
        <v>217</v>
      </c>
      <c r="C14" s="49"/>
      <c r="D14" s="31" t="s">
        <v>17</v>
      </c>
      <c r="E14" s="31" t="s">
        <v>73</v>
      </c>
      <c r="F14" s="90"/>
      <c r="G14" s="79"/>
      <c r="H14" s="92"/>
      <c r="I14" s="83" t="s">
        <v>217</v>
      </c>
      <c r="J14" s="49"/>
      <c r="K14" s="31"/>
      <c r="L14" s="31"/>
      <c r="M14" s="90"/>
      <c r="N14" s="79"/>
    </row>
    <row r="15">
      <c r="A15" s="92"/>
      <c r="B15" s="83" t="s">
        <v>218</v>
      </c>
      <c r="C15" s="49"/>
      <c r="D15" s="31" t="s">
        <v>14</v>
      </c>
      <c r="E15" s="31"/>
      <c r="F15" s="90"/>
      <c r="G15" s="79"/>
      <c r="H15" s="92"/>
      <c r="I15" s="83" t="s">
        <v>218</v>
      </c>
      <c r="J15" s="49"/>
      <c r="K15" s="31"/>
      <c r="L15" s="31"/>
      <c r="M15" s="90"/>
      <c r="N15" s="79"/>
    </row>
    <row r="16">
      <c r="A16" s="92"/>
      <c r="B16" s="85" t="s">
        <v>218</v>
      </c>
      <c r="C16" s="86"/>
      <c r="D16" s="87" t="s">
        <v>19</v>
      </c>
      <c r="E16" s="87" t="s">
        <v>67</v>
      </c>
      <c r="F16" s="91" t="s">
        <v>227</v>
      </c>
      <c r="G16" s="89"/>
      <c r="H16" s="92"/>
      <c r="I16" s="85" t="s">
        <v>218</v>
      </c>
      <c r="J16" s="86"/>
      <c r="K16" s="87"/>
      <c r="L16" s="87"/>
      <c r="M16" s="88"/>
      <c r="N16" s="89"/>
    </row>
    <row r="18">
      <c r="A18" s="71" t="b">
        <v>1</v>
      </c>
      <c r="B18" s="72" t="s">
        <v>211</v>
      </c>
      <c r="C18" s="73">
        <v>45996.0</v>
      </c>
      <c r="D18" s="74"/>
      <c r="E18" s="74"/>
      <c r="F18" s="75" t="s">
        <v>212</v>
      </c>
      <c r="G18" s="76"/>
      <c r="H18" s="71" t="b">
        <v>0</v>
      </c>
      <c r="I18" s="72" t="s">
        <v>211</v>
      </c>
      <c r="J18" s="73"/>
      <c r="K18" s="74"/>
      <c r="L18" s="74"/>
      <c r="M18" s="75" t="s">
        <v>212</v>
      </c>
      <c r="N18" s="76"/>
    </row>
    <row r="19">
      <c r="A19" s="92"/>
      <c r="B19" s="77" t="s">
        <v>213</v>
      </c>
      <c r="C19" s="78" t="s">
        <v>219</v>
      </c>
      <c r="G19" s="79"/>
      <c r="H19" s="92"/>
      <c r="I19" s="77" t="s">
        <v>213</v>
      </c>
      <c r="J19" s="78"/>
      <c r="N19" s="79"/>
    </row>
    <row r="20">
      <c r="A20" s="92"/>
      <c r="B20" s="81" t="s">
        <v>215</v>
      </c>
      <c r="C20" s="82" t="s">
        <v>216</v>
      </c>
      <c r="D20" s="82" t="s">
        <v>1</v>
      </c>
      <c r="E20" s="82" t="s">
        <v>53</v>
      </c>
      <c r="G20" s="79"/>
      <c r="H20" s="92"/>
      <c r="I20" s="81" t="s">
        <v>215</v>
      </c>
      <c r="J20" s="82" t="s">
        <v>216</v>
      </c>
      <c r="K20" s="82" t="s">
        <v>1</v>
      </c>
      <c r="L20" s="82" t="s">
        <v>53</v>
      </c>
      <c r="N20" s="79"/>
    </row>
    <row r="21">
      <c r="A21" s="92"/>
      <c r="B21" s="83" t="s">
        <v>217</v>
      </c>
      <c r="C21" s="31"/>
      <c r="D21" s="31" t="s">
        <v>19</v>
      </c>
      <c r="E21" s="31" t="s">
        <v>73</v>
      </c>
      <c r="F21" s="90"/>
      <c r="G21" s="79"/>
      <c r="H21" s="92"/>
      <c r="I21" s="83" t="s">
        <v>217</v>
      </c>
      <c r="J21" s="31"/>
      <c r="K21" s="31"/>
      <c r="L21" s="31"/>
      <c r="M21" s="90"/>
      <c r="N21" s="79"/>
    </row>
    <row r="22">
      <c r="A22" s="92"/>
      <c r="B22" s="83" t="s">
        <v>217</v>
      </c>
      <c r="C22" s="49"/>
      <c r="D22" s="31" t="s">
        <v>23</v>
      </c>
      <c r="E22" s="31" t="s">
        <v>112</v>
      </c>
      <c r="F22" s="90"/>
      <c r="G22" s="79"/>
      <c r="H22" s="92"/>
      <c r="I22" s="83" t="s">
        <v>217</v>
      </c>
      <c r="J22" s="49"/>
      <c r="K22" s="31"/>
      <c r="L22" s="31"/>
      <c r="M22" s="90"/>
      <c r="N22" s="79"/>
    </row>
    <row r="23">
      <c r="A23" s="92"/>
      <c r="B23" s="83" t="s">
        <v>217</v>
      </c>
      <c r="C23" s="49"/>
      <c r="D23" s="31"/>
      <c r="E23" s="31"/>
      <c r="F23" s="90"/>
      <c r="G23" s="79"/>
      <c r="H23" s="92"/>
      <c r="I23" s="83" t="s">
        <v>217</v>
      </c>
      <c r="J23" s="49"/>
      <c r="K23" s="31"/>
      <c r="L23" s="31"/>
      <c r="M23" s="90"/>
      <c r="N23" s="79"/>
    </row>
    <row r="24">
      <c r="A24" s="92"/>
      <c r="B24" s="83" t="s">
        <v>217</v>
      </c>
      <c r="C24" s="49"/>
      <c r="D24" s="31" t="s">
        <v>39</v>
      </c>
      <c r="E24" s="31" t="s">
        <v>124</v>
      </c>
      <c r="F24" s="90"/>
      <c r="G24" s="79"/>
      <c r="H24" s="92"/>
      <c r="I24" s="83" t="s">
        <v>217</v>
      </c>
      <c r="J24" s="49"/>
      <c r="K24" s="31"/>
      <c r="L24" s="31"/>
      <c r="M24" s="90"/>
      <c r="N24" s="79"/>
    </row>
    <row r="25">
      <c r="A25" s="92"/>
      <c r="B25" s="83" t="s">
        <v>217</v>
      </c>
      <c r="C25" s="49"/>
      <c r="D25" s="31" t="s">
        <v>17</v>
      </c>
      <c r="E25" s="31" t="s">
        <v>239</v>
      </c>
      <c r="F25" s="90"/>
      <c r="G25" s="79"/>
      <c r="H25" s="92"/>
      <c r="I25" s="83" t="s">
        <v>217</v>
      </c>
      <c r="J25" s="49"/>
      <c r="K25" s="31"/>
      <c r="L25" s="31"/>
      <c r="M25" s="90"/>
      <c r="N25" s="79"/>
    </row>
    <row r="26">
      <c r="A26" s="92"/>
      <c r="B26" s="83" t="s">
        <v>217</v>
      </c>
      <c r="C26" s="49"/>
      <c r="D26" s="31"/>
      <c r="E26" s="31"/>
      <c r="F26" s="90" t="s">
        <v>227</v>
      </c>
      <c r="G26" s="79"/>
      <c r="H26" s="92"/>
      <c r="I26" s="83" t="s">
        <v>217</v>
      </c>
      <c r="J26" s="49"/>
      <c r="K26" s="31"/>
      <c r="L26" s="31"/>
      <c r="M26" s="90"/>
      <c r="N26" s="79"/>
    </row>
    <row r="27">
      <c r="A27" s="92"/>
      <c r="B27" s="83" t="s">
        <v>218</v>
      </c>
      <c r="C27" s="49"/>
      <c r="D27" s="31" t="s">
        <v>31</v>
      </c>
      <c r="E27" s="31" t="s">
        <v>67</v>
      </c>
      <c r="F27" s="90"/>
      <c r="G27" s="79"/>
      <c r="H27" s="92"/>
      <c r="I27" s="83" t="s">
        <v>218</v>
      </c>
      <c r="J27" s="49"/>
      <c r="K27" s="31"/>
      <c r="L27" s="31"/>
      <c r="M27" s="90"/>
      <c r="N27" s="79"/>
    </row>
    <row r="28">
      <c r="A28" s="92"/>
      <c r="B28" s="85" t="s">
        <v>218</v>
      </c>
      <c r="C28" s="86"/>
      <c r="D28" s="87" t="s">
        <v>14</v>
      </c>
      <c r="E28" s="87"/>
      <c r="F28" s="88"/>
      <c r="G28" s="89"/>
      <c r="H28" s="92"/>
      <c r="I28" s="85" t="s">
        <v>218</v>
      </c>
      <c r="J28" s="86"/>
      <c r="K28" s="87"/>
      <c r="L28" s="87"/>
      <c r="M28" s="88"/>
      <c r="N28" s="89"/>
    </row>
    <row r="29">
      <c r="O29" s="92"/>
    </row>
    <row r="30">
      <c r="A30" s="71" t="b">
        <v>0</v>
      </c>
      <c r="B30" s="72" t="s">
        <v>211</v>
      </c>
      <c r="C30" s="73"/>
      <c r="D30" s="74"/>
      <c r="E30" s="74"/>
      <c r="F30" s="75" t="s">
        <v>212</v>
      </c>
      <c r="G30" s="76"/>
      <c r="H30" s="71" t="b">
        <v>0</v>
      </c>
      <c r="I30" s="72" t="s">
        <v>211</v>
      </c>
      <c r="J30" s="73"/>
      <c r="K30" s="74"/>
      <c r="L30" s="74"/>
      <c r="M30" s="75" t="s">
        <v>212</v>
      </c>
      <c r="N30" s="76"/>
      <c r="O30" s="92"/>
    </row>
    <row r="31">
      <c r="A31" s="92"/>
      <c r="B31" s="77" t="s">
        <v>213</v>
      </c>
      <c r="C31" s="78"/>
      <c r="G31" s="79"/>
      <c r="H31" s="92"/>
      <c r="I31" s="77" t="s">
        <v>213</v>
      </c>
      <c r="J31" s="78"/>
      <c r="N31" s="79"/>
      <c r="O31" s="92"/>
    </row>
    <row r="32">
      <c r="A32" s="92"/>
      <c r="B32" s="81" t="s">
        <v>215</v>
      </c>
      <c r="C32" s="82" t="s">
        <v>216</v>
      </c>
      <c r="D32" s="82" t="s">
        <v>1</v>
      </c>
      <c r="E32" s="82" t="s">
        <v>53</v>
      </c>
      <c r="G32" s="79"/>
      <c r="H32" s="92"/>
      <c r="I32" s="81" t="s">
        <v>215</v>
      </c>
      <c r="J32" s="82" t="s">
        <v>216</v>
      </c>
      <c r="K32" s="82" t="s">
        <v>1</v>
      </c>
      <c r="L32" s="82" t="s">
        <v>53</v>
      </c>
      <c r="N32" s="79"/>
      <c r="O32" s="92"/>
    </row>
    <row r="33">
      <c r="A33" s="92"/>
      <c r="B33" s="83" t="s">
        <v>217</v>
      </c>
      <c r="C33" s="31"/>
      <c r="D33" s="31"/>
      <c r="E33" s="31"/>
      <c r="F33" s="90"/>
      <c r="G33" s="79"/>
      <c r="H33" s="92"/>
      <c r="I33" s="83" t="s">
        <v>217</v>
      </c>
      <c r="J33" s="31"/>
      <c r="K33" s="31"/>
      <c r="L33" s="31"/>
      <c r="M33" s="90"/>
      <c r="N33" s="79"/>
      <c r="O33" s="92"/>
    </row>
    <row r="34">
      <c r="A34" s="92"/>
      <c r="B34" s="83" t="s">
        <v>217</v>
      </c>
      <c r="C34" s="49"/>
      <c r="D34" s="31"/>
      <c r="E34" s="31"/>
      <c r="F34" s="90"/>
      <c r="G34" s="79"/>
      <c r="H34" s="92"/>
      <c r="I34" s="83" t="s">
        <v>217</v>
      </c>
      <c r="J34" s="49"/>
      <c r="K34" s="31"/>
      <c r="L34" s="31"/>
      <c r="M34" s="90"/>
      <c r="N34" s="79"/>
      <c r="O34" s="92"/>
    </row>
    <row r="35">
      <c r="A35" s="92"/>
      <c r="B35" s="83" t="s">
        <v>217</v>
      </c>
      <c r="C35" s="49"/>
      <c r="D35" s="31"/>
      <c r="E35" s="31"/>
      <c r="F35" s="90"/>
      <c r="G35" s="79"/>
      <c r="H35" s="92"/>
      <c r="I35" s="83" t="s">
        <v>217</v>
      </c>
      <c r="J35" s="49"/>
      <c r="K35" s="31"/>
      <c r="L35" s="31"/>
      <c r="M35" s="90"/>
      <c r="N35" s="79"/>
      <c r="O35" s="92"/>
    </row>
    <row r="36">
      <c r="A36" s="92"/>
      <c r="B36" s="83" t="s">
        <v>217</v>
      </c>
      <c r="C36" s="49"/>
      <c r="D36" s="31"/>
      <c r="E36" s="31"/>
      <c r="F36" s="90"/>
      <c r="G36" s="79"/>
      <c r="H36" s="92"/>
      <c r="I36" s="83" t="s">
        <v>217</v>
      </c>
      <c r="J36" s="49"/>
      <c r="K36" s="31"/>
      <c r="L36" s="31"/>
      <c r="M36" s="90"/>
      <c r="N36" s="79"/>
      <c r="O36" s="92"/>
    </row>
    <row r="37">
      <c r="A37" s="92"/>
      <c r="B37" s="83" t="s">
        <v>217</v>
      </c>
      <c r="C37" s="49"/>
      <c r="D37" s="31"/>
      <c r="E37" s="31"/>
      <c r="F37" s="90"/>
      <c r="G37" s="79"/>
      <c r="H37" s="92"/>
      <c r="I37" s="83" t="s">
        <v>217</v>
      </c>
      <c r="J37" s="49"/>
      <c r="K37" s="31"/>
      <c r="L37" s="31"/>
      <c r="M37" s="90"/>
      <c r="N37" s="79"/>
      <c r="O37" s="92"/>
    </row>
    <row r="38">
      <c r="A38" s="92"/>
      <c r="B38" s="83" t="s">
        <v>217</v>
      </c>
      <c r="C38" s="49"/>
      <c r="D38" s="31"/>
      <c r="E38" s="31"/>
      <c r="F38" s="90"/>
      <c r="G38" s="79"/>
      <c r="H38" s="92"/>
      <c r="I38" s="83" t="s">
        <v>217</v>
      </c>
      <c r="J38" s="49"/>
      <c r="K38" s="31"/>
      <c r="L38" s="31"/>
      <c r="M38" s="90"/>
      <c r="N38" s="79"/>
      <c r="O38" s="92"/>
    </row>
    <row r="39">
      <c r="A39" s="92"/>
      <c r="B39" s="83" t="s">
        <v>218</v>
      </c>
      <c r="C39" s="49"/>
      <c r="D39" s="31"/>
      <c r="E39" s="31"/>
      <c r="F39" s="90"/>
      <c r="G39" s="79"/>
      <c r="H39" s="92"/>
      <c r="I39" s="83" t="s">
        <v>218</v>
      </c>
      <c r="J39" s="49"/>
      <c r="K39" s="31"/>
      <c r="L39" s="31"/>
      <c r="M39" s="90"/>
      <c r="N39" s="79"/>
      <c r="O39" s="92"/>
    </row>
    <row r="40">
      <c r="A40" s="92"/>
      <c r="B40" s="85" t="s">
        <v>218</v>
      </c>
      <c r="C40" s="86"/>
      <c r="D40" s="87"/>
      <c r="E40" s="87"/>
      <c r="F40" s="88"/>
      <c r="G40" s="89"/>
      <c r="H40" s="92"/>
      <c r="I40" s="85" t="s">
        <v>218</v>
      </c>
      <c r="J40" s="86"/>
      <c r="K40" s="87"/>
      <c r="L40" s="87"/>
      <c r="M40" s="88"/>
      <c r="N40" s="89"/>
      <c r="O40" s="92"/>
    </row>
    <row r="42">
      <c r="A42" s="71" t="b">
        <v>0</v>
      </c>
      <c r="B42" s="72" t="s">
        <v>211</v>
      </c>
      <c r="C42" s="73"/>
      <c r="D42" s="74"/>
      <c r="E42" s="74"/>
      <c r="F42" s="75" t="s">
        <v>212</v>
      </c>
      <c r="G42" s="76"/>
      <c r="H42" s="71" t="b">
        <v>0</v>
      </c>
      <c r="I42" s="72" t="s">
        <v>211</v>
      </c>
      <c r="J42" s="73"/>
      <c r="K42" s="74"/>
      <c r="L42" s="74"/>
      <c r="M42" s="75" t="s">
        <v>212</v>
      </c>
      <c r="N42" s="76"/>
    </row>
    <row r="43">
      <c r="A43" s="92"/>
      <c r="B43" s="77" t="s">
        <v>213</v>
      </c>
      <c r="C43" s="78"/>
      <c r="G43" s="79"/>
      <c r="H43" s="92"/>
      <c r="I43" s="77" t="s">
        <v>213</v>
      </c>
      <c r="J43" s="78"/>
      <c r="N43" s="79"/>
    </row>
    <row r="44">
      <c r="A44" s="92"/>
      <c r="B44" s="81" t="s">
        <v>215</v>
      </c>
      <c r="C44" s="82" t="s">
        <v>216</v>
      </c>
      <c r="D44" s="82" t="s">
        <v>1</v>
      </c>
      <c r="E44" s="82" t="s">
        <v>53</v>
      </c>
      <c r="G44" s="79"/>
      <c r="H44" s="92"/>
      <c r="I44" s="81" t="s">
        <v>215</v>
      </c>
      <c r="J44" s="82" t="s">
        <v>216</v>
      </c>
      <c r="K44" s="82" t="s">
        <v>1</v>
      </c>
      <c r="L44" s="82" t="s">
        <v>53</v>
      </c>
      <c r="N44" s="79"/>
    </row>
    <row r="45">
      <c r="A45" s="92"/>
      <c r="B45" s="83" t="s">
        <v>217</v>
      </c>
      <c r="C45" s="31"/>
      <c r="D45" s="31"/>
      <c r="E45" s="31"/>
      <c r="F45" s="90"/>
      <c r="G45" s="79"/>
      <c r="H45" s="92"/>
      <c r="I45" s="83" t="s">
        <v>217</v>
      </c>
      <c r="J45" s="31"/>
      <c r="K45" s="31"/>
      <c r="L45" s="31"/>
      <c r="M45" s="90"/>
      <c r="N45" s="79"/>
    </row>
    <row r="46">
      <c r="A46" s="92"/>
      <c r="B46" s="83" t="s">
        <v>217</v>
      </c>
      <c r="C46" s="49"/>
      <c r="D46" s="31"/>
      <c r="E46" s="31"/>
      <c r="F46" s="90"/>
      <c r="G46" s="79"/>
      <c r="H46" s="92"/>
      <c r="I46" s="83" t="s">
        <v>217</v>
      </c>
      <c r="J46" s="49"/>
      <c r="K46" s="31"/>
      <c r="L46" s="31"/>
      <c r="M46" s="90"/>
      <c r="N46" s="79"/>
    </row>
    <row r="47">
      <c r="A47" s="92"/>
      <c r="B47" s="83" t="s">
        <v>217</v>
      </c>
      <c r="C47" s="49"/>
      <c r="D47" s="31"/>
      <c r="E47" s="31"/>
      <c r="F47" s="90"/>
      <c r="G47" s="79"/>
      <c r="H47" s="92"/>
      <c r="I47" s="83" t="s">
        <v>217</v>
      </c>
      <c r="J47" s="49"/>
      <c r="K47" s="31"/>
      <c r="L47" s="31"/>
      <c r="M47" s="90"/>
      <c r="N47" s="79"/>
    </row>
    <row r="48">
      <c r="A48" s="92"/>
      <c r="B48" s="83" t="s">
        <v>217</v>
      </c>
      <c r="C48" s="49"/>
      <c r="D48" s="31"/>
      <c r="E48" s="31"/>
      <c r="F48" s="90"/>
      <c r="G48" s="79"/>
      <c r="H48" s="92"/>
      <c r="I48" s="83" t="s">
        <v>217</v>
      </c>
      <c r="J48" s="49"/>
      <c r="K48" s="31"/>
      <c r="L48" s="31"/>
      <c r="M48" s="90"/>
      <c r="N48" s="79"/>
    </row>
    <row r="49">
      <c r="A49" s="92"/>
      <c r="B49" s="83" t="s">
        <v>217</v>
      </c>
      <c r="C49" s="49"/>
      <c r="D49" s="31"/>
      <c r="E49" s="31"/>
      <c r="F49" s="90"/>
      <c r="G49" s="79"/>
      <c r="H49" s="92"/>
      <c r="I49" s="83" t="s">
        <v>217</v>
      </c>
      <c r="J49" s="49"/>
      <c r="K49" s="31"/>
      <c r="L49" s="31"/>
      <c r="M49" s="90"/>
      <c r="N49" s="79"/>
    </row>
    <row r="50">
      <c r="A50" s="92"/>
      <c r="B50" s="83" t="s">
        <v>217</v>
      </c>
      <c r="C50" s="49"/>
      <c r="D50" s="31"/>
      <c r="E50" s="31"/>
      <c r="F50" s="90"/>
      <c r="G50" s="79"/>
      <c r="H50" s="92"/>
      <c r="I50" s="83" t="s">
        <v>217</v>
      </c>
      <c r="J50" s="49"/>
      <c r="K50" s="31"/>
      <c r="L50" s="31"/>
      <c r="M50" s="90"/>
      <c r="N50" s="79"/>
    </row>
    <row r="51">
      <c r="A51" s="92"/>
      <c r="B51" s="83" t="s">
        <v>218</v>
      </c>
      <c r="C51" s="49"/>
      <c r="D51" s="31"/>
      <c r="E51" s="31"/>
      <c r="F51" s="90"/>
      <c r="G51" s="79"/>
      <c r="H51" s="92"/>
      <c r="I51" s="83" t="s">
        <v>218</v>
      </c>
      <c r="J51" s="49"/>
      <c r="K51" s="31"/>
      <c r="L51" s="31"/>
      <c r="M51" s="90"/>
      <c r="N51" s="79"/>
    </row>
    <row r="52">
      <c r="A52" s="92"/>
      <c r="B52" s="85" t="s">
        <v>218</v>
      </c>
      <c r="C52" s="86"/>
      <c r="D52" s="87"/>
      <c r="E52" s="87"/>
      <c r="F52" s="88"/>
      <c r="G52" s="89"/>
      <c r="H52" s="92"/>
      <c r="I52" s="85" t="s">
        <v>218</v>
      </c>
      <c r="J52" s="86"/>
      <c r="K52" s="87"/>
      <c r="L52" s="87"/>
      <c r="M52" s="88"/>
      <c r="N52" s="89"/>
    </row>
    <row r="53">
      <c r="H53" s="92"/>
      <c r="I53" s="92"/>
      <c r="J53" s="92"/>
      <c r="K53" s="92"/>
      <c r="L53" s="92"/>
      <c r="M53" s="92"/>
      <c r="N53" s="92"/>
    </row>
  </sheetData>
  <mergeCells count="89">
    <mergeCell ref="F21:G21"/>
    <mergeCell ref="F22:G22"/>
    <mergeCell ref="F23:G23"/>
    <mergeCell ref="F24:G24"/>
    <mergeCell ref="F25:G25"/>
    <mergeCell ref="F26:G26"/>
    <mergeCell ref="F27:G27"/>
    <mergeCell ref="F30:G32"/>
    <mergeCell ref="F33:G33"/>
    <mergeCell ref="F34:G34"/>
    <mergeCell ref="F35:G35"/>
    <mergeCell ref="F36:G36"/>
    <mergeCell ref="F37:G37"/>
    <mergeCell ref="F38:G38"/>
    <mergeCell ref="F47:G47"/>
    <mergeCell ref="F48:G48"/>
    <mergeCell ref="F49:G49"/>
    <mergeCell ref="F50:G50"/>
    <mergeCell ref="F51:G51"/>
    <mergeCell ref="F52:G52"/>
    <mergeCell ref="F39:G39"/>
    <mergeCell ref="F40:G40"/>
    <mergeCell ref="C42:E42"/>
    <mergeCell ref="F42:G44"/>
    <mergeCell ref="C43:E43"/>
    <mergeCell ref="F45:G45"/>
    <mergeCell ref="F46:G46"/>
    <mergeCell ref="M30:N32"/>
    <mergeCell ref="M33:N33"/>
    <mergeCell ref="M34:N34"/>
    <mergeCell ref="M35:N35"/>
    <mergeCell ref="M36:N36"/>
    <mergeCell ref="M37:N37"/>
    <mergeCell ref="M38:N38"/>
    <mergeCell ref="M47:N47"/>
    <mergeCell ref="M48:N48"/>
    <mergeCell ref="M49:N49"/>
    <mergeCell ref="M50:N50"/>
    <mergeCell ref="M51:N51"/>
    <mergeCell ref="M52:N52"/>
    <mergeCell ref="M39:N39"/>
    <mergeCell ref="M40:N40"/>
    <mergeCell ref="J42:L42"/>
    <mergeCell ref="M42:N44"/>
    <mergeCell ref="J43:L43"/>
    <mergeCell ref="M45:N45"/>
    <mergeCell ref="M46:N46"/>
    <mergeCell ref="M6:N8"/>
    <mergeCell ref="M9:N9"/>
    <mergeCell ref="B1:N4"/>
    <mergeCell ref="C6:E6"/>
    <mergeCell ref="F6:G8"/>
    <mergeCell ref="J6:L6"/>
    <mergeCell ref="C7:E7"/>
    <mergeCell ref="J7:L7"/>
    <mergeCell ref="F9:G9"/>
    <mergeCell ref="F10:G10"/>
    <mergeCell ref="M10:N10"/>
    <mergeCell ref="F11:G11"/>
    <mergeCell ref="M11:N11"/>
    <mergeCell ref="F12:G12"/>
    <mergeCell ref="M12:N12"/>
    <mergeCell ref="M13:N13"/>
    <mergeCell ref="F13:G13"/>
    <mergeCell ref="F14:G14"/>
    <mergeCell ref="F15:G15"/>
    <mergeCell ref="F16:G16"/>
    <mergeCell ref="C18:E18"/>
    <mergeCell ref="F18:G20"/>
    <mergeCell ref="C19:E19"/>
    <mergeCell ref="M14:N14"/>
    <mergeCell ref="M15:N15"/>
    <mergeCell ref="M16:N16"/>
    <mergeCell ref="J18:L18"/>
    <mergeCell ref="M18:N20"/>
    <mergeCell ref="J19:L19"/>
    <mergeCell ref="M21:N21"/>
    <mergeCell ref="F28:G28"/>
    <mergeCell ref="C30:E30"/>
    <mergeCell ref="J30:L30"/>
    <mergeCell ref="C31:E31"/>
    <mergeCell ref="J31:L31"/>
    <mergeCell ref="M22:N22"/>
    <mergeCell ref="M23:N23"/>
    <mergeCell ref="M24:N24"/>
    <mergeCell ref="M25:N25"/>
    <mergeCell ref="M26:N26"/>
    <mergeCell ref="M27:N27"/>
    <mergeCell ref="M28:N28"/>
  </mergeCells>
  <dataValidations>
    <dataValidation type="list" allowBlank="1" showErrorMessage="1" sqref="D9:D16 K9:K16 D21:D28 K21:K28 D33:D40 K33:K40 D45:D52 K45:K52">
      <formula1>'暱稱'!$A$6:$A$101</formula1>
    </dataValidation>
    <dataValidation type="list" allowBlank="1" showErrorMessage="1" sqref="E9:E16 L9:L16 E21:E28 L21:L28 E33:E40 L33:L40 E45:E52 L45:L52">
      <formula1>"狂戰士,毀滅者,督軍,聖騎士,屠殺者,女巫,卡牌魔術師,吟遊詩人,召喚師,鬥士,格鬥大師,拳霸,氣功師,槍術士,拳剎,鷹眼,槍炮大師,惡魔獵手,神槍手,偵察士,刀鋒,半魔人,噬魂者,影殺者,畫家,氣象術士,幻獸師"</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3" max="3" width="22.75"/>
    <col customWidth="1" min="4" max="4" width="21.75"/>
    <col customWidth="1" min="5" max="5" width="16.38"/>
    <col customWidth="1" min="6" max="6" width="19.0"/>
    <col customWidth="1" min="7" max="7" width="20.0"/>
  </cols>
  <sheetData>
    <row r="1">
      <c r="A1" s="96"/>
      <c r="B1" s="96" t="s">
        <v>240</v>
      </c>
      <c r="C1" s="69" t="s">
        <v>241</v>
      </c>
    </row>
    <row r="2">
      <c r="A2" s="97"/>
      <c r="B2" s="97"/>
      <c r="C2" s="98" t="s">
        <v>242</v>
      </c>
      <c r="D2" s="69"/>
    </row>
    <row r="3">
      <c r="A3" s="99" t="s">
        <v>243</v>
      </c>
      <c r="B3" s="100">
        <v>95.0</v>
      </c>
      <c r="C3" s="101">
        <v>5680.0</v>
      </c>
      <c r="D3" s="98" t="s">
        <v>244</v>
      </c>
      <c r="E3" s="102">
        <f>SWITCH(C1,
  "最高級奧莉哈", (B44 * B3 + B45 * B4 + B46 * B5) / 100 + B9,
  "高級奧莉哈", (B48 * B3 + B49 * B4 + B50 * B5) / 100 + B10,
)</f>
        <v>1145.38</v>
      </c>
      <c r="F3" s="103" t="s">
        <v>245</v>
      </c>
    </row>
    <row r="4">
      <c r="A4" s="99" t="s">
        <v>246</v>
      </c>
      <c r="B4" s="100">
        <v>196.0</v>
      </c>
      <c r="C4" s="101">
        <v>2760.0</v>
      </c>
      <c r="D4" s="98" t="s">
        <v>247</v>
      </c>
      <c r="E4" s="104">
        <f>SWITCH(C1,"最高級奧莉哈",(B11*15-E3)*95%,"高級奧莉哈",((B12*20-E3)*95%),"牛排",(#REF!-E3)*95%)</f>
        <v>379.639</v>
      </c>
      <c r="F4" s="104">
        <f>SWITCH(C1,"最高級奧莉哈",E3/15,"高級奧莉哈",E3/20)</f>
        <v>76.35866667</v>
      </c>
    </row>
    <row r="5">
      <c r="A5" s="99" t="s">
        <v>248</v>
      </c>
      <c r="B5" s="100">
        <v>1187.0</v>
      </c>
      <c r="C5" s="101">
        <v>2080.0</v>
      </c>
      <c r="D5" s="98" t="s">
        <v>249</v>
      </c>
      <c r="E5" s="104">
        <f>SWITCH(C1,"最高級奧莉哈",(E4*40),"高級奧莉哈",(E4*40),"牛排",(E4*40))</f>
        <v>15185.56</v>
      </c>
    </row>
    <row r="6">
      <c r="A6" s="105" t="s">
        <v>250</v>
      </c>
      <c r="B6" s="106">
        <v>105.0</v>
      </c>
      <c r="C6" s="107">
        <v>3760.0</v>
      </c>
      <c r="D6" s="98" t="s">
        <v>251</v>
      </c>
      <c r="E6" s="102">
        <f>SWITCH(C1,"最高級奧莉哈",(B11*15)*95%,"高級奧莉哈",(B12*20)*95%,"牛排",(#REF!*95%))</f>
        <v>1467.75</v>
      </c>
    </row>
    <row r="7">
      <c r="A7" s="105" t="s">
        <v>252</v>
      </c>
      <c r="B7" s="106">
        <v>215.0</v>
      </c>
      <c r="C7" s="108">
        <v>1160.0</v>
      </c>
      <c r="D7" s="109" t="s">
        <v>253</v>
      </c>
      <c r="E7" s="110">
        <f>SUM(B3*56.8+B4*27.6+B5*20.8+B9*40)</f>
        <v>45815.2</v>
      </c>
    </row>
    <row r="8">
      <c r="A8" s="105" t="s">
        <v>254</v>
      </c>
      <c r="B8" s="106">
        <v>1312.0</v>
      </c>
      <c r="C8" s="108">
        <v>640.0</v>
      </c>
    </row>
    <row r="9">
      <c r="A9" s="99" t="s">
        <v>255</v>
      </c>
      <c r="B9" s="100">
        <v>258.0</v>
      </c>
      <c r="C9" s="69" t="s">
        <v>241</v>
      </c>
      <c r="D9" s="98" t="s">
        <v>244</v>
      </c>
      <c r="E9" s="102">
        <f>SWITCH(C9,
  "最高級奧莉哈", (B53 * B6 + B54 * B7 + B55 * B8) / 100 + B9,
  "高級奧莉哈", (B57 * B6 + B58 * B7 + B59 * B8) / 100 + B10,
)</f>
        <v>1162.24</v>
      </c>
      <c r="F9" s="103" t="s">
        <v>245</v>
      </c>
    </row>
    <row r="10">
      <c r="A10" s="99" t="s">
        <v>256</v>
      </c>
      <c r="B10" s="100">
        <v>212.0</v>
      </c>
      <c r="D10" s="98" t="s">
        <v>247</v>
      </c>
      <c r="E10" s="104">
        <f>SWITCH(C9,"最高級奧莉哈",(B11*15-E9)*95%,"高級奧莉哈",((B12*20-E9)*95%),)</f>
        <v>363.622</v>
      </c>
      <c r="F10" s="104">
        <f>SWITCH(C9,"最高級奧莉哈" ,E9/15,"高級奧莉哈",E9/20)</f>
        <v>77.48266667</v>
      </c>
    </row>
    <row r="11">
      <c r="A11" s="105" t="s">
        <v>257</v>
      </c>
      <c r="B11" s="106">
        <v>103.0</v>
      </c>
      <c r="D11" s="98" t="s">
        <v>249</v>
      </c>
      <c r="E11" s="104">
        <f>SWITCH(C9,"最高級奧莉哈",(E10*40),"高級奧莉哈",(E10*40),)</f>
        <v>14544.88</v>
      </c>
    </row>
    <row r="12">
      <c r="A12" s="105" t="s">
        <v>258</v>
      </c>
      <c r="B12" s="106">
        <v>36.0</v>
      </c>
      <c r="D12" s="98" t="s">
        <v>251</v>
      </c>
      <c r="E12" s="102">
        <f>SWITCH(C9,"最高級奧莉哈",(B11*15)*95%,"高級奧莉哈",(B12*20)*95%,)</f>
        <v>1467.75</v>
      </c>
    </row>
    <row r="13">
      <c r="D13" s="109" t="s">
        <v>253</v>
      </c>
      <c r="E13" s="110">
        <f>SUM(B6*37.6+B7*11.6+B8*6.4+B10*40)</f>
        <v>23318.8</v>
      </c>
    </row>
    <row r="14">
      <c r="A14" s="111"/>
      <c r="B14" s="111"/>
    </row>
    <row r="43">
      <c r="A43" s="69" t="s">
        <v>259</v>
      </c>
      <c r="B43" s="69"/>
    </row>
    <row r="44">
      <c r="A44" s="69" t="s">
        <v>243</v>
      </c>
      <c r="B44" s="69">
        <v>142.0</v>
      </c>
      <c r="C44" s="112"/>
      <c r="D44" s="113"/>
    </row>
    <row r="45">
      <c r="A45" s="69" t="s">
        <v>246</v>
      </c>
      <c r="B45" s="69">
        <v>69.0</v>
      </c>
      <c r="C45" s="112"/>
      <c r="D45" s="113"/>
    </row>
    <row r="46">
      <c r="A46" s="69" t="s">
        <v>248</v>
      </c>
      <c r="B46" s="69">
        <v>52.0</v>
      </c>
      <c r="C46" s="112"/>
      <c r="D46" s="113"/>
    </row>
    <row r="47">
      <c r="A47" s="69" t="s">
        <v>260</v>
      </c>
      <c r="B47" s="69"/>
      <c r="C47" s="112"/>
      <c r="D47" s="113"/>
    </row>
    <row r="48">
      <c r="A48" s="69" t="s">
        <v>243</v>
      </c>
      <c r="B48" s="69">
        <v>128.0</v>
      </c>
      <c r="C48" s="112"/>
      <c r="D48" s="113"/>
    </row>
    <row r="49">
      <c r="A49" s="69" t="s">
        <v>246</v>
      </c>
      <c r="B49" s="69">
        <v>64.0</v>
      </c>
      <c r="C49" s="112"/>
      <c r="D49" s="113"/>
    </row>
    <row r="50">
      <c r="A50" s="69" t="s">
        <v>248</v>
      </c>
      <c r="B50" s="69">
        <v>16.0</v>
      </c>
    </row>
    <row r="52">
      <c r="A52" s="69" t="s">
        <v>259</v>
      </c>
    </row>
    <row r="53">
      <c r="A53" s="69" t="s">
        <v>261</v>
      </c>
      <c r="B53" s="69">
        <v>107.0</v>
      </c>
    </row>
    <row r="54">
      <c r="A54" s="69" t="s">
        <v>252</v>
      </c>
      <c r="B54" s="69">
        <v>51.0</v>
      </c>
    </row>
    <row r="55">
      <c r="A55" s="69" t="s">
        <v>254</v>
      </c>
      <c r="B55" s="69">
        <v>52.0</v>
      </c>
    </row>
    <row r="56">
      <c r="A56" s="69" t="s">
        <v>260</v>
      </c>
    </row>
    <row r="57">
      <c r="A57" s="69" t="s">
        <v>261</v>
      </c>
      <c r="B57" s="69">
        <v>94.0</v>
      </c>
    </row>
    <row r="58">
      <c r="A58" s="69" t="s">
        <v>252</v>
      </c>
      <c r="B58" s="69">
        <v>29.0</v>
      </c>
    </row>
    <row r="59">
      <c r="A59" s="69" t="s">
        <v>254</v>
      </c>
      <c r="B59" s="69">
        <v>16.0</v>
      </c>
    </row>
  </sheetData>
  <dataValidations>
    <dataValidation type="list" allowBlank="1" showErrorMessage="1" sqref="C1 C9">
      <formula1>"最高級奧莉哈,高級奧莉哈"</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25.5"/>
    <col customWidth="1" min="3" max="3" width="34.0"/>
    <col customWidth="1" min="4" max="4" width="49.88"/>
    <col customWidth="1" min="5" max="5" width="12.0"/>
  </cols>
  <sheetData>
    <row r="1">
      <c r="A1" s="114" t="s">
        <v>262</v>
      </c>
      <c r="B1" s="114" t="s">
        <v>263</v>
      </c>
      <c r="C1" s="114" t="s">
        <v>264</v>
      </c>
      <c r="D1" s="114"/>
      <c r="E1" s="114"/>
    </row>
    <row r="2">
      <c r="A2" s="114" t="s">
        <v>265</v>
      </c>
      <c r="B2" s="115">
        <v>90.0</v>
      </c>
      <c r="C2" s="116">
        <f>B2/100</f>
        <v>0.9</v>
      </c>
      <c r="D2" s="114"/>
      <c r="E2" s="114"/>
    </row>
    <row r="3">
      <c r="A3" s="114" t="s">
        <v>266</v>
      </c>
      <c r="B3" s="115">
        <v>198.0</v>
      </c>
      <c r="C3" s="116">
        <f>IF(E11&gt;E12,E12,E11)/100</f>
        <v>1.98</v>
      </c>
      <c r="D3" s="114"/>
      <c r="E3" s="114"/>
    </row>
    <row r="4">
      <c r="A4" s="114" t="s">
        <v>267</v>
      </c>
      <c r="B4" s="115">
        <v>1350.0</v>
      </c>
      <c r="C4" s="116">
        <f>B4/100</f>
        <v>13.5</v>
      </c>
      <c r="D4" s="114"/>
      <c r="E4" s="114"/>
    </row>
    <row r="5">
      <c r="A5" s="114"/>
      <c r="B5" s="117"/>
      <c r="C5" s="117"/>
      <c r="D5" s="114"/>
      <c r="E5" s="114"/>
    </row>
    <row r="6">
      <c r="A6" s="114" t="s">
        <v>268</v>
      </c>
      <c r="B6" s="118">
        <v>5.0</v>
      </c>
      <c r="C6" s="117"/>
      <c r="D6" s="114"/>
      <c r="E6" s="114"/>
    </row>
    <row r="7">
      <c r="A7" s="114" t="s">
        <v>269</v>
      </c>
      <c r="B7" s="115">
        <v>14.0</v>
      </c>
      <c r="C7" s="117"/>
      <c r="D7" s="114"/>
      <c r="E7" s="114"/>
    </row>
    <row r="8">
      <c r="A8" s="119" t="s">
        <v>270</v>
      </c>
      <c r="B8" s="115">
        <v>103.0</v>
      </c>
      <c r="C8" s="117"/>
      <c r="D8" s="114"/>
      <c r="E8" s="114"/>
    </row>
    <row r="9">
      <c r="A9" s="114"/>
      <c r="B9" s="114"/>
      <c r="C9" s="114"/>
      <c r="D9" s="114"/>
      <c r="E9" s="114"/>
    </row>
    <row r="10">
      <c r="A10" s="120" t="s">
        <v>271</v>
      </c>
      <c r="B10" s="120" t="s">
        <v>272</v>
      </c>
      <c r="C10" s="120" t="s">
        <v>273</v>
      </c>
      <c r="D10" s="120" t="s">
        <v>274</v>
      </c>
      <c r="E10" s="120" t="s">
        <v>275</v>
      </c>
    </row>
    <row r="11">
      <c r="A11" s="121" t="s">
        <v>276</v>
      </c>
      <c r="B11" s="122" t="s">
        <v>277</v>
      </c>
      <c r="C11" s="122" t="s">
        <v>278</v>
      </c>
      <c r="D11" s="122" t="s">
        <v>279</v>
      </c>
      <c r="E11" s="123">
        <f>B3</f>
        <v>198</v>
      </c>
    </row>
    <row r="12">
      <c r="A12" s="112" t="s">
        <v>280</v>
      </c>
      <c r="B12" s="114" t="s">
        <v>281</v>
      </c>
      <c r="C12" s="114" t="s">
        <v>282</v>
      </c>
      <c r="D12" s="114" t="s">
        <v>283</v>
      </c>
      <c r="E12" s="124">
        <f>((200*1.25)/100)*B2</f>
        <v>225</v>
      </c>
    </row>
    <row r="13">
      <c r="A13" s="125"/>
      <c r="B13" s="126"/>
      <c r="C13" s="126"/>
      <c r="D13" s="127" t="s">
        <v>284</v>
      </c>
      <c r="E13" s="128">
        <f>IF(E11&gt;E12,E12,E11)</f>
        <v>198</v>
      </c>
    </row>
    <row r="14">
      <c r="A14" s="114"/>
      <c r="B14" s="114"/>
      <c r="C14" s="114"/>
      <c r="D14" s="114"/>
      <c r="E14" s="114"/>
    </row>
    <row r="15">
      <c r="A15" s="120" t="s">
        <v>271</v>
      </c>
      <c r="B15" s="120" t="s">
        <v>272</v>
      </c>
      <c r="C15" s="120" t="s">
        <v>273</v>
      </c>
      <c r="D15" s="120" t="s">
        <v>274</v>
      </c>
      <c r="E15" s="120" t="s">
        <v>275</v>
      </c>
    </row>
    <row r="16">
      <c r="A16" s="121" t="s">
        <v>285</v>
      </c>
      <c r="B16" s="122" t="s">
        <v>286</v>
      </c>
      <c r="C16" s="122" t="s">
        <v>278</v>
      </c>
      <c r="D16" s="122" t="s">
        <v>287</v>
      </c>
      <c r="E16" s="123">
        <f>B4</f>
        <v>1350</v>
      </c>
    </row>
    <row r="17">
      <c r="A17" s="112" t="s">
        <v>288</v>
      </c>
      <c r="B17" s="114" t="s">
        <v>289</v>
      </c>
      <c r="C17" s="114" t="s">
        <v>290</v>
      </c>
      <c r="D17" s="114" t="s">
        <v>291</v>
      </c>
      <c r="E17" s="124">
        <f>((1000*1.25)/100)*B2</f>
        <v>1125</v>
      </c>
    </row>
    <row r="18">
      <c r="A18" s="125"/>
      <c r="B18" s="126"/>
      <c r="C18" s="126"/>
      <c r="D18" s="127" t="s">
        <v>284</v>
      </c>
      <c r="E18" s="128">
        <f>IF(E16&gt;E17,E17,E16)</f>
        <v>1125</v>
      </c>
    </row>
    <row r="19">
      <c r="A19" s="125"/>
      <c r="B19" s="126"/>
      <c r="C19" s="126"/>
      <c r="D19" s="114"/>
      <c r="E19" s="114"/>
    </row>
    <row r="20">
      <c r="A20" s="129" t="s">
        <v>292</v>
      </c>
      <c r="B20" s="130" t="s">
        <v>293</v>
      </c>
      <c r="C20" s="131" t="s">
        <v>294</v>
      </c>
      <c r="D20" s="114"/>
      <c r="E20" s="114"/>
    </row>
    <row r="21">
      <c r="A21" s="112" t="s">
        <v>295</v>
      </c>
      <c r="B21" s="113">
        <v>52.0</v>
      </c>
      <c r="C21" s="124">
        <f>C4*B21</f>
        <v>702</v>
      </c>
      <c r="D21" s="114"/>
      <c r="E21" s="114"/>
    </row>
    <row r="22">
      <c r="A22" s="112" t="s">
        <v>296</v>
      </c>
      <c r="B22" s="113">
        <v>69.0</v>
      </c>
      <c r="C22" s="124">
        <f>C3*B22</f>
        <v>136.62</v>
      </c>
      <c r="D22" s="114"/>
      <c r="E22" s="114"/>
    </row>
    <row r="23">
      <c r="A23" s="112" t="s">
        <v>297</v>
      </c>
      <c r="B23" s="113">
        <v>142.0</v>
      </c>
      <c r="C23" s="124">
        <f>C2*B23</f>
        <v>127.8</v>
      </c>
      <c r="D23" s="114"/>
      <c r="E23" s="114"/>
    </row>
    <row r="24">
      <c r="A24" s="125" t="s">
        <v>298</v>
      </c>
      <c r="B24" s="126"/>
      <c r="C24" s="132">
        <f>300*((100-14)/100)</f>
        <v>258</v>
      </c>
      <c r="D24" s="114"/>
      <c r="E24" s="114"/>
    </row>
    <row r="25">
      <c r="A25" s="121" t="s">
        <v>299</v>
      </c>
      <c r="B25" s="122"/>
      <c r="C25" s="123">
        <f>SUM(C21:C24)</f>
        <v>1224.42</v>
      </c>
      <c r="D25" s="114"/>
      <c r="E25" s="114"/>
    </row>
    <row r="26">
      <c r="A26" s="112" t="s">
        <v>300</v>
      </c>
      <c r="B26" s="114"/>
      <c r="C26" s="124">
        <f>15*B8</f>
        <v>1545</v>
      </c>
      <c r="D26" s="114"/>
      <c r="E26" s="114"/>
    </row>
    <row r="27">
      <c r="A27" s="112" t="s">
        <v>301</v>
      </c>
      <c r="B27" s="114"/>
      <c r="C27" s="124">
        <f>ROUND(C26*B6/100,2)</f>
        <v>77.25</v>
      </c>
      <c r="D27" s="114"/>
      <c r="E27" s="114"/>
    </row>
    <row r="28">
      <c r="A28" s="112" t="s">
        <v>302</v>
      </c>
      <c r="B28" s="114"/>
      <c r="C28" s="124">
        <f>(C26-C25)*(95/100)-C27</f>
        <v>227.301</v>
      </c>
      <c r="D28" s="114"/>
      <c r="E28" s="114"/>
    </row>
    <row r="29">
      <c r="A29" s="121" t="s">
        <v>303</v>
      </c>
      <c r="B29" s="122"/>
      <c r="C29" s="133">
        <f>40*C25</f>
        <v>48976.8</v>
      </c>
      <c r="D29" s="114"/>
      <c r="E29" s="114"/>
    </row>
    <row r="30">
      <c r="A30" s="125" t="s">
        <v>304</v>
      </c>
      <c r="B30" s="126"/>
      <c r="C30" s="128">
        <f>40*C28</f>
        <v>9092.04</v>
      </c>
      <c r="D30" s="114"/>
      <c r="E30" s="114"/>
    </row>
    <row r="31">
      <c r="A31" s="114" t="s">
        <v>245</v>
      </c>
      <c r="B31" s="114"/>
      <c r="C31" s="113">
        <f>ROUND(C25/15,2)</f>
        <v>81.63</v>
      </c>
      <c r="D31" s="114"/>
      <c r="E31" s="114"/>
    </row>
    <row r="32">
      <c r="A32" s="69" t="s">
        <v>305</v>
      </c>
      <c r="C32" s="134">
        <f>B8-C31</f>
        <v>21.37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5.13"/>
    <col customWidth="1" min="4" max="4" width="19.5"/>
    <col customWidth="1" min="12" max="12" width="19.5"/>
    <col customWidth="1" min="13" max="13" width="25.13"/>
    <col customWidth="1" min="14" max="14" width="19.5"/>
    <col customWidth="1" min="20" max="20" width="19.5"/>
    <col customWidth="1" min="21" max="21" width="25.13"/>
    <col customWidth="1" min="22" max="22" width="19.5"/>
  </cols>
  <sheetData>
    <row r="1" ht="58.5" customHeight="1">
      <c r="A1" s="17"/>
      <c r="B1" s="135" t="s">
        <v>306</v>
      </c>
      <c r="C1" s="136"/>
      <c r="D1" s="136"/>
      <c r="E1" s="136"/>
      <c r="F1" s="136"/>
      <c r="G1" s="136"/>
      <c r="H1" s="136"/>
      <c r="I1" s="136"/>
      <c r="J1" s="136"/>
      <c r="K1" s="136"/>
      <c r="L1" s="136"/>
      <c r="M1" s="136"/>
      <c r="N1" s="136"/>
      <c r="O1" s="136"/>
      <c r="P1" s="136"/>
      <c r="Q1" s="136"/>
      <c r="R1" s="136"/>
      <c r="S1" s="136"/>
      <c r="T1" s="136"/>
      <c r="U1" s="136"/>
      <c r="V1" s="136"/>
      <c r="W1" s="136"/>
      <c r="X1" s="136"/>
      <c r="Y1" s="136"/>
      <c r="Z1" s="136"/>
      <c r="AA1" s="137"/>
      <c r="AB1" s="17"/>
    </row>
    <row r="2" ht="22.5" customHeight="1">
      <c r="B2" s="42" t="s">
        <v>51</v>
      </c>
      <c r="C2" s="43" t="s">
        <v>52</v>
      </c>
      <c r="D2" s="43" t="s">
        <v>53</v>
      </c>
      <c r="E2" s="44" t="s">
        <v>54</v>
      </c>
      <c r="F2" s="45" t="s">
        <v>307</v>
      </c>
      <c r="G2" s="45" t="s">
        <v>308</v>
      </c>
      <c r="H2" s="45" t="s">
        <v>55</v>
      </c>
      <c r="I2" s="27" t="s">
        <v>56</v>
      </c>
      <c r="J2" s="45" t="s">
        <v>57</v>
      </c>
      <c r="K2" s="45" t="s">
        <v>58</v>
      </c>
      <c r="L2" s="42" t="s">
        <v>51</v>
      </c>
      <c r="M2" s="43" t="s">
        <v>52</v>
      </c>
      <c r="N2" s="43" t="s">
        <v>53</v>
      </c>
      <c r="O2" s="44" t="s">
        <v>54</v>
      </c>
      <c r="P2" s="45" t="s">
        <v>307</v>
      </c>
      <c r="Q2" s="45" t="s">
        <v>308</v>
      </c>
      <c r="R2" s="24" t="s">
        <v>55</v>
      </c>
      <c r="S2" s="27" t="s">
        <v>56</v>
      </c>
      <c r="T2" s="42" t="s">
        <v>51</v>
      </c>
      <c r="U2" s="43" t="s">
        <v>52</v>
      </c>
      <c r="V2" s="43" t="s">
        <v>53</v>
      </c>
      <c r="W2" s="44" t="s">
        <v>54</v>
      </c>
      <c r="X2" s="45" t="s">
        <v>307</v>
      </c>
      <c r="Y2" s="45" t="s">
        <v>308</v>
      </c>
      <c r="Z2" s="24" t="s">
        <v>55</v>
      </c>
      <c r="AA2" s="27" t="s">
        <v>56</v>
      </c>
    </row>
    <row r="3">
      <c r="B3" s="29">
        <v>5688.0</v>
      </c>
      <c r="C3" s="138">
        <v>5.6885688E7</v>
      </c>
      <c r="D3" s="31" t="s">
        <v>90</v>
      </c>
      <c r="E3" s="32">
        <v>1630.0</v>
      </c>
      <c r="F3" s="31"/>
      <c r="G3" s="31"/>
      <c r="H3" s="33"/>
      <c r="I3" s="31" t="b">
        <v>1</v>
      </c>
      <c r="J3" s="31" t="b">
        <v>1</v>
      </c>
      <c r="K3" s="31" t="b">
        <v>1</v>
      </c>
      <c r="L3" s="29">
        <v>5688.0</v>
      </c>
      <c r="N3" s="31"/>
      <c r="O3" s="32"/>
      <c r="P3" s="31"/>
      <c r="Q3" s="31"/>
      <c r="R3" s="31"/>
      <c r="S3" s="35"/>
      <c r="T3" s="29"/>
      <c r="V3" s="31"/>
      <c r="W3" s="32"/>
      <c r="X3" s="31"/>
      <c r="Y3" s="31"/>
      <c r="Z3" s="31"/>
      <c r="AA3" s="35"/>
    </row>
    <row r="4">
      <c r="B4" s="28"/>
      <c r="C4" s="48" t="s">
        <v>309</v>
      </c>
      <c r="D4" s="31" t="s">
        <v>95</v>
      </c>
      <c r="E4" s="32">
        <v>1630.0</v>
      </c>
      <c r="F4" s="31"/>
      <c r="G4" s="31"/>
      <c r="H4" s="33"/>
      <c r="I4" s="31" t="b">
        <v>1</v>
      </c>
      <c r="J4" s="139" t="b">
        <v>1</v>
      </c>
      <c r="K4" s="139" t="b">
        <v>1</v>
      </c>
      <c r="L4" s="28"/>
      <c r="M4" s="48"/>
      <c r="N4" s="31"/>
      <c r="O4" s="32"/>
      <c r="P4" s="31"/>
      <c r="Q4" s="31"/>
      <c r="R4" s="40"/>
      <c r="S4" s="35"/>
      <c r="T4" s="28"/>
      <c r="U4" s="48"/>
      <c r="V4" s="31"/>
      <c r="W4" s="32"/>
      <c r="X4" s="31"/>
      <c r="Y4" s="31"/>
      <c r="Z4" s="40"/>
      <c r="AA4" s="35"/>
    </row>
    <row r="5">
      <c r="B5" s="28"/>
      <c r="C5" s="48" t="s">
        <v>310</v>
      </c>
      <c r="D5" s="31" t="s">
        <v>69</v>
      </c>
      <c r="E5" s="32">
        <v>1630.0</v>
      </c>
      <c r="F5" s="31"/>
      <c r="G5" s="31"/>
      <c r="H5" s="33"/>
      <c r="I5" s="31" t="b">
        <v>1</v>
      </c>
      <c r="J5" s="31" t="b">
        <v>1</v>
      </c>
      <c r="K5" s="31" t="b">
        <v>1</v>
      </c>
      <c r="L5" s="28"/>
      <c r="M5" s="48"/>
      <c r="N5" s="49"/>
      <c r="O5" s="32"/>
      <c r="P5" s="31"/>
      <c r="Q5" s="31"/>
      <c r="R5" s="40"/>
      <c r="S5" s="35"/>
      <c r="T5" s="28"/>
      <c r="U5" s="48"/>
      <c r="V5" s="49"/>
      <c r="W5" s="32"/>
      <c r="X5" s="31"/>
      <c r="Y5" s="31"/>
      <c r="Z5" s="40"/>
      <c r="AA5" s="35"/>
    </row>
    <row r="6">
      <c r="B6" s="28"/>
      <c r="C6" s="48" t="s">
        <v>311</v>
      </c>
      <c r="D6" s="31" t="s">
        <v>77</v>
      </c>
      <c r="E6" s="32">
        <v>1630.0</v>
      </c>
      <c r="F6" s="31"/>
      <c r="G6" s="31"/>
      <c r="H6" s="33"/>
      <c r="I6" s="31" t="b">
        <v>1</v>
      </c>
      <c r="J6" s="31" t="b">
        <v>1</v>
      </c>
      <c r="K6" s="31" t="b">
        <v>1</v>
      </c>
      <c r="L6" s="28"/>
      <c r="M6" s="48"/>
      <c r="N6" s="49"/>
      <c r="O6" s="32"/>
      <c r="P6" s="31"/>
      <c r="Q6" s="31"/>
      <c r="R6" s="40"/>
      <c r="S6" s="35"/>
      <c r="T6" s="28"/>
      <c r="U6" s="48"/>
      <c r="V6" s="49"/>
      <c r="W6" s="32"/>
      <c r="X6" s="31"/>
      <c r="Y6" s="31"/>
      <c r="Z6" s="40"/>
      <c r="AA6" s="35"/>
    </row>
    <row r="7">
      <c r="B7" s="28"/>
      <c r="C7" s="48" t="s">
        <v>312</v>
      </c>
      <c r="D7" s="31" t="s">
        <v>112</v>
      </c>
      <c r="E7" s="32">
        <v>1620.0</v>
      </c>
      <c r="F7" s="33"/>
      <c r="G7" s="33"/>
      <c r="H7" s="31"/>
      <c r="I7" s="31" t="b">
        <v>1</v>
      </c>
      <c r="J7" s="31" t="b">
        <v>1</v>
      </c>
      <c r="K7" s="139" t="b">
        <v>0</v>
      </c>
      <c r="L7" s="28"/>
      <c r="M7" s="48"/>
      <c r="N7" s="49"/>
      <c r="O7" s="32"/>
      <c r="P7" s="31"/>
      <c r="Q7" s="31"/>
      <c r="R7" s="40"/>
      <c r="S7" s="35"/>
      <c r="T7" s="28"/>
      <c r="U7" s="48"/>
      <c r="V7" s="49"/>
      <c r="W7" s="32"/>
      <c r="X7" s="31"/>
      <c r="Y7" s="31"/>
      <c r="Z7" s="40"/>
      <c r="AA7" s="35"/>
    </row>
    <row r="8">
      <c r="B8" s="51"/>
      <c r="C8" s="52" t="s">
        <v>313</v>
      </c>
      <c r="D8" s="39" t="s">
        <v>99</v>
      </c>
      <c r="E8" s="60">
        <v>1610.0</v>
      </c>
      <c r="F8" s="31"/>
      <c r="G8" s="31"/>
      <c r="H8" s="31" t="b">
        <v>1</v>
      </c>
      <c r="I8" s="31" t="b">
        <v>1</v>
      </c>
      <c r="J8" s="31" t="b">
        <v>1</v>
      </c>
      <c r="K8" s="33"/>
      <c r="L8" s="51"/>
      <c r="M8" s="52"/>
      <c r="N8" s="53"/>
      <c r="O8" s="54"/>
      <c r="P8" s="39"/>
      <c r="Q8" s="39"/>
      <c r="R8" s="40"/>
      <c r="S8" s="35"/>
      <c r="T8" s="51"/>
      <c r="U8" s="52"/>
      <c r="V8" s="53"/>
      <c r="W8" s="54"/>
      <c r="X8" s="39"/>
      <c r="Y8" s="39"/>
      <c r="Z8" s="40"/>
      <c r="AA8" s="35"/>
    </row>
    <row r="9">
      <c r="B9" s="42" t="s">
        <v>51</v>
      </c>
      <c r="C9" s="43" t="s">
        <v>52</v>
      </c>
      <c r="D9" s="43" t="s">
        <v>53</v>
      </c>
      <c r="E9" s="44" t="s">
        <v>54</v>
      </c>
      <c r="F9" s="45" t="s">
        <v>307</v>
      </c>
      <c r="G9" s="45" t="s">
        <v>308</v>
      </c>
      <c r="H9" s="45" t="s">
        <v>55</v>
      </c>
      <c r="I9" s="27" t="s">
        <v>56</v>
      </c>
      <c r="J9" s="45" t="s">
        <v>57</v>
      </c>
      <c r="K9" s="45" t="s">
        <v>58</v>
      </c>
      <c r="L9" s="42" t="s">
        <v>51</v>
      </c>
      <c r="M9" s="43" t="s">
        <v>52</v>
      </c>
      <c r="N9" s="43" t="s">
        <v>53</v>
      </c>
      <c r="O9" s="44" t="s">
        <v>54</v>
      </c>
      <c r="P9" s="45" t="s">
        <v>307</v>
      </c>
      <c r="Q9" s="45" t="s">
        <v>308</v>
      </c>
      <c r="R9" s="45" t="s">
        <v>55</v>
      </c>
      <c r="S9" s="27" t="s">
        <v>56</v>
      </c>
      <c r="T9" s="42" t="s">
        <v>51</v>
      </c>
      <c r="U9" s="43" t="s">
        <v>52</v>
      </c>
      <c r="V9" s="43" t="s">
        <v>53</v>
      </c>
      <c r="W9" s="44" t="s">
        <v>54</v>
      </c>
      <c r="X9" s="45" t="s">
        <v>307</v>
      </c>
      <c r="Y9" s="45" t="s">
        <v>308</v>
      </c>
      <c r="Z9" s="45" t="s">
        <v>55</v>
      </c>
      <c r="AA9" s="27" t="s">
        <v>56</v>
      </c>
    </row>
    <row r="10">
      <c r="B10" s="29">
        <v>5688.0</v>
      </c>
      <c r="C10" s="48" t="s">
        <v>314</v>
      </c>
      <c r="D10" s="31" t="s">
        <v>143</v>
      </c>
      <c r="E10" s="32">
        <v>1620.0</v>
      </c>
      <c r="F10" s="31"/>
      <c r="G10" s="33"/>
      <c r="H10" s="33"/>
      <c r="I10" s="31" t="b">
        <v>1</v>
      </c>
      <c r="J10" s="139" t="b">
        <v>1</v>
      </c>
      <c r="K10" s="139" t="b">
        <v>1</v>
      </c>
      <c r="L10" s="29">
        <v>5688.0</v>
      </c>
      <c r="M10" s="48"/>
      <c r="N10" s="31"/>
      <c r="O10" s="32"/>
      <c r="P10" s="31"/>
      <c r="Q10" s="31"/>
      <c r="R10" s="40"/>
      <c r="S10" s="35"/>
      <c r="T10" s="29"/>
      <c r="V10" s="31"/>
      <c r="W10" s="32"/>
      <c r="X10" s="31"/>
      <c r="Y10" s="31"/>
      <c r="Z10" s="31"/>
      <c r="AA10" s="35"/>
    </row>
    <row r="11">
      <c r="B11" s="28"/>
      <c r="C11" s="48" t="s">
        <v>315</v>
      </c>
      <c r="D11" s="31" t="s">
        <v>194</v>
      </c>
      <c r="E11" s="32">
        <v>1540.0</v>
      </c>
      <c r="F11" s="33" t="b">
        <v>0</v>
      </c>
      <c r="G11" s="31" t="b">
        <v>0</v>
      </c>
      <c r="H11" s="40"/>
      <c r="I11" s="35"/>
      <c r="J11" s="31"/>
      <c r="K11" s="31"/>
      <c r="L11" s="28"/>
      <c r="M11" s="48"/>
      <c r="N11" s="31"/>
      <c r="O11" s="32"/>
      <c r="P11" s="31"/>
      <c r="Q11" s="31"/>
      <c r="R11" s="40"/>
      <c r="S11" s="35"/>
      <c r="T11" s="28"/>
      <c r="U11" s="48"/>
      <c r="V11" s="31"/>
      <c r="W11" s="32"/>
      <c r="X11" s="31"/>
      <c r="Y11" s="31"/>
      <c r="Z11" s="40"/>
      <c r="AA11" s="35"/>
    </row>
    <row r="12">
      <c r="B12" s="28"/>
      <c r="C12" s="48" t="s">
        <v>316</v>
      </c>
      <c r="D12" s="31" t="s">
        <v>317</v>
      </c>
      <c r="E12" s="32">
        <v>1600.0</v>
      </c>
      <c r="F12" s="31" t="b">
        <v>0</v>
      </c>
      <c r="G12" s="31"/>
      <c r="H12" s="31" t="b">
        <v>0</v>
      </c>
      <c r="I12" s="31" t="b">
        <v>1</v>
      </c>
      <c r="J12" s="31"/>
      <c r="K12" s="31"/>
      <c r="L12" s="28"/>
      <c r="M12" s="48"/>
      <c r="N12" s="49"/>
      <c r="O12" s="32"/>
      <c r="P12" s="31"/>
      <c r="Q12" s="31"/>
      <c r="R12" s="40"/>
      <c r="S12" s="35"/>
      <c r="T12" s="28"/>
      <c r="U12" s="48"/>
      <c r="V12" s="49"/>
      <c r="W12" s="32"/>
      <c r="X12" s="31"/>
      <c r="Y12" s="31"/>
      <c r="Z12" s="40"/>
      <c r="AA12" s="35"/>
    </row>
    <row r="13">
      <c r="B13" s="28"/>
      <c r="C13" s="48" t="s">
        <v>318</v>
      </c>
      <c r="D13" s="31" t="s">
        <v>239</v>
      </c>
      <c r="E13" s="32">
        <v>1540.0</v>
      </c>
      <c r="F13" s="31" t="b">
        <v>0</v>
      </c>
      <c r="G13" s="31" t="b">
        <v>0</v>
      </c>
      <c r="H13" s="40"/>
      <c r="I13" s="35"/>
      <c r="J13" s="31"/>
      <c r="K13" s="31"/>
      <c r="L13" s="28"/>
      <c r="M13" s="48"/>
      <c r="N13" s="49"/>
      <c r="O13" s="32"/>
      <c r="P13" s="31"/>
      <c r="Q13" s="31"/>
      <c r="R13" s="40"/>
      <c r="S13" s="35"/>
      <c r="T13" s="28"/>
      <c r="U13" s="48"/>
      <c r="V13" s="49"/>
      <c r="W13" s="32"/>
      <c r="X13" s="31"/>
      <c r="Y13" s="31"/>
      <c r="Z13" s="40"/>
      <c r="AA13" s="35"/>
    </row>
    <row r="14">
      <c r="B14" s="28"/>
      <c r="C14" s="48" t="s">
        <v>319</v>
      </c>
      <c r="D14" s="31" t="s">
        <v>65</v>
      </c>
      <c r="E14" s="32">
        <v>1580.0</v>
      </c>
      <c r="F14" s="31" t="b">
        <v>1</v>
      </c>
      <c r="G14" s="31" t="b">
        <v>0</v>
      </c>
      <c r="H14" s="31" t="b">
        <v>0</v>
      </c>
      <c r="I14" s="35"/>
      <c r="J14" s="31"/>
      <c r="K14" s="31"/>
      <c r="L14" s="28"/>
      <c r="M14" s="48"/>
      <c r="N14" s="49"/>
      <c r="O14" s="32"/>
      <c r="P14" s="31"/>
      <c r="Q14" s="31"/>
      <c r="R14" s="40"/>
      <c r="S14" s="35"/>
      <c r="T14" s="28"/>
      <c r="U14" s="48"/>
      <c r="V14" s="49"/>
      <c r="W14" s="32"/>
      <c r="X14" s="31"/>
      <c r="Y14" s="31"/>
      <c r="Z14" s="40"/>
      <c r="AA14" s="35"/>
    </row>
    <row r="15">
      <c r="B15" s="51"/>
      <c r="C15" s="52" t="s">
        <v>320</v>
      </c>
      <c r="D15" s="39" t="s">
        <v>82</v>
      </c>
      <c r="E15" s="60">
        <v>1540.0</v>
      </c>
      <c r="F15" s="31" t="b">
        <v>0</v>
      </c>
      <c r="G15" s="31" t="b">
        <v>0</v>
      </c>
      <c r="H15" s="40"/>
      <c r="I15" s="35"/>
      <c r="J15" s="31"/>
      <c r="K15" s="31"/>
      <c r="L15" s="51"/>
      <c r="M15" s="52"/>
      <c r="N15" s="53"/>
      <c r="O15" s="54"/>
      <c r="P15" s="39"/>
      <c r="Q15" s="39"/>
      <c r="R15" s="40"/>
      <c r="S15" s="35"/>
      <c r="T15" s="51"/>
      <c r="U15" s="52"/>
      <c r="V15" s="53"/>
      <c r="W15" s="54"/>
      <c r="X15" s="39"/>
      <c r="Y15" s="39"/>
      <c r="Z15" s="40"/>
      <c r="AA15" s="35"/>
    </row>
    <row r="16">
      <c r="B16" s="42" t="s">
        <v>51</v>
      </c>
      <c r="C16" s="43" t="s">
        <v>52</v>
      </c>
      <c r="D16" s="43" t="s">
        <v>53</v>
      </c>
      <c r="E16" s="44" t="s">
        <v>54</v>
      </c>
      <c r="F16" s="45" t="s">
        <v>307</v>
      </c>
      <c r="G16" s="45" t="s">
        <v>308</v>
      </c>
      <c r="H16" s="45" t="s">
        <v>55</v>
      </c>
      <c r="I16" s="27" t="s">
        <v>56</v>
      </c>
      <c r="J16" s="45" t="s">
        <v>57</v>
      </c>
      <c r="K16" s="45" t="s">
        <v>58</v>
      </c>
      <c r="L16" s="42" t="s">
        <v>51</v>
      </c>
      <c r="M16" s="43" t="s">
        <v>52</v>
      </c>
      <c r="N16" s="43" t="s">
        <v>53</v>
      </c>
      <c r="O16" s="44" t="s">
        <v>54</v>
      </c>
      <c r="P16" s="45" t="s">
        <v>307</v>
      </c>
      <c r="Q16" s="45" t="s">
        <v>308</v>
      </c>
      <c r="R16" s="45" t="s">
        <v>55</v>
      </c>
      <c r="S16" s="27" t="s">
        <v>56</v>
      </c>
      <c r="T16" s="42" t="s">
        <v>51</v>
      </c>
      <c r="U16" s="43" t="s">
        <v>52</v>
      </c>
      <c r="V16" s="43" t="s">
        <v>53</v>
      </c>
      <c r="W16" s="44" t="s">
        <v>54</v>
      </c>
      <c r="X16" s="45" t="s">
        <v>307</v>
      </c>
      <c r="Y16" s="45" t="s">
        <v>308</v>
      </c>
      <c r="Z16" s="45" t="s">
        <v>55</v>
      </c>
      <c r="AA16" s="27" t="s">
        <v>56</v>
      </c>
    </row>
    <row r="17">
      <c r="B17" s="29" t="s">
        <v>48</v>
      </c>
      <c r="C17" s="47">
        <v>70047.0</v>
      </c>
      <c r="D17" s="31" t="s">
        <v>67</v>
      </c>
      <c r="E17" s="32">
        <v>1640.0</v>
      </c>
      <c r="F17" s="31"/>
      <c r="G17" s="31"/>
      <c r="H17" s="33"/>
      <c r="I17" s="31" t="b">
        <v>1</v>
      </c>
      <c r="J17" s="140" t="b">
        <v>1</v>
      </c>
      <c r="K17" s="140" t="b">
        <v>1</v>
      </c>
      <c r="L17" s="29" t="s">
        <v>48</v>
      </c>
      <c r="M17" s="48"/>
      <c r="N17" s="31"/>
      <c r="O17" s="32"/>
      <c r="P17" s="141"/>
      <c r="Q17" s="31"/>
      <c r="R17" s="31"/>
      <c r="S17" s="31"/>
      <c r="T17" s="29"/>
      <c r="V17" s="31"/>
      <c r="W17" s="32"/>
      <c r="X17" s="31"/>
      <c r="Y17" s="31"/>
      <c r="Z17" s="31"/>
      <c r="AA17" s="35"/>
    </row>
    <row r="18">
      <c r="B18" s="28"/>
      <c r="C18" s="47" t="s">
        <v>321</v>
      </c>
      <c r="D18" s="31" t="s">
        <v>77</v>
      </c>
      <c r="E18" s="32">
        <v>1620.0</v>
      </c>
      <c r="F18" s="31"/>
      <c r="G18" s="31"/>
      <c r="H18" s="33"/>
      <c r="I18" s="31" t="b">
        <v>1</v>
      </c>
      <c r="J18" s="31" t="b">
        <v>1</v>
      </c>
      <c r="K18" s="31" t="b">
        <v>1</v>
      </c>
      <c r="L18" s="28"/>
      <c r="M18" s="48"/>
      <c r="N18" s="31"/>
      <c r="O18" s="32"/>
      <c r="P18" s="31"/>
      <c r="Q18" s="31"/>
      <c r="R18" s="31"/>
      <c r="S18" s="35"/>
      <c r="T18" s="28"/>
      <c r="U18" s="48"/>
      <c r="V18" s="31"/>
      <c r="W18" s="32"/>
      <c r="X18" s="31"/>
      <c r="Y18" s="31"/>
      <c r="Z18" s="40"/>
      <c r="AA18" s="35"/>
    </row>
    <row r="19">
      <c r="B19" s="28"/>
      <c r="C19" s="47" t="s">
        <v>322</v>
      </c>
      <c r="D19" s="31" t="s">
        <v>73</v>
      </c>
      <c r="E19" s="32">
        <v>1620.0</v>
      </c>
      <c r="F19" s="31"/>
      <c r="G19" s="31"/>
      <c r="H19" s="33"/>
      <c r="I19" s="31" t="b">
        <v>1</v>
      </c>
      <c r="J19" s="140" t="b">
        <v>1</v>
      </c>
      <c r="K19" s="31" t="b">
        <v>1</v>
      </c>
      <c r="L19" s="28"/>
      <c r="M19" s="48"/>
      <c r="N19" s="31"/>
      <c r="O19" s="32"/>
      <c r="P19" s="31"/>
      <c r="Q19" s="31"/>
      <c r="R19" s="31"/>
      <c r="S19" s="35"/>
      <c r="T19" s="28"/>
      <c r="U19" s="48"/>
      <c r="V19" s="49"/>
      <c r="W19" s="32"/>
      <c r="X19" s="31"/>
      <c r="Y19" s="31"/>
      <c r="Z19" s="40"/>
      <c r="AA19" s="35"/>
    </row>
    <row r="20">
      <c r="B20" s="28"/>
      <c r="C20" s="48" t="s">
        <v>323</v>
      </c>
      <c r="D20" s="31" t="s">
        <v>88</v>
      </c>
      <c r="E20" s="32">
        <v>1620.0</v>
      </c>
      <c r="F20" s="31" t="s">
        <v>324</v>
      </c>
      <c r="G20" s="33" t="s">
        <v>325</v>
      </c>
      <c r="H20" s="31" t="s">
        <v>326</v>
      </c>
      <c r="I20" s="31" t="b">
        <v>1</v>
      </c>
      <c r="J20" s="140" t="b">
        <v>1</v>
      </c>
      <c r="K20" s="140" t="b">
        <v>1</v>
      </c>
      <c r="L20" s="28"/>
      <c r="M20" s="48"/>
      <c r="N20" s="31"/>
      <c r="O20" s="32"/>
      <c r="P20" s="31"/>
      <c r="Q20" s="31"/>
      <c r="R20" s="31"/>
      <c r="S20" s="35"/>
      <c r="T20" s="28"/>
      <c r="U20" s="48"/>
      <c r="V20" s="49"/>
      <c r="W20" s="32"/>
      <c r="X20" s="31"/>
      <c r="Y20" s="31"/>
      <c r="Z20" s="40"/>
      <c r="AA20" s="35"/>
    </row>
    <row r="21">
      <c r="B21" s="28"/>
      <c r="C21" s="48" t="s">
        <v>327</v>
      </c>
      <c r="D21" s="31" t="s">
        <v>99</v>
      </c>
      <c r="E21" s="32">
        <v>1620.0</v>
      </c>
      <c r="F21" s="31"/>
      <c r="G21" s="31"/>
      <c r="H21" s="31"/>
      <c r="I21" s="31" t="b">
        <v>1</v>
      </c>
      <c r="J21" s="31" t="b">
        <v>1</v>
      </c>
      <c r="K21" s="140" t="b">
        <v>1</v>
      </c>
      <c r="L21" s="28"/>
      <c r="M21" s="48"/>
      <c r="N21" s="31"/>
      <c r="O21" s="32"/>
      <c r="P21" s="31"/>
      <c r="Q21" s="31"/>
      <c r="R21" s="31"/>
      <c r="S21" s="35"/>
      <c r="T21" s="28"/>
      <c r="U21" s="48"/>
      <c r="V21" s="49"/>
      <c r="W21" s="32"/>
      <c r="X21" s="31"/>
      <c r="Y21" s="31"/>
      <c r="Z21" s="40"/>
      <c r="AA21" s="35"/>
    </row>
    <row r="22">
      <c r="B22" s="51"/>
      <c r="C22" s="52" t="s">
        <v>328</v>
      </c>
      <c r="D22" s="39" t="s">
        <v>112</v>
      </c>
      <c r="E22" s="60">
        <v>1600.0</v>
      </c>
      <c r="F22" s="31" t="b">
        <v>1</v>
      </c>
      <c r="G22" s="31"/>
      <c r="H22" s="31" t="b">
        <v>1</v>
      </c>
      <c r="I22" s="31" t="b">
        <v>1</v>
      </c>
      <c r="J22" s="31"/>
      <c r="K22" s="31"/>
      <c r="L22" s="51"/>
      <c r="M22" s="52"/>
      <c r="N22" s="39"/>
      <c r="O22" s="60"/>
      <c r="P22" s="31"/>
      <c r="Q22" s="31"/>
      <c r="R22" s="31"/>
      <c r="S22" s="35"/>
      <c r="T22" s="51"/>
      <c r="U22" s="52"/>
      <c r="V22" s="53"/>
      <c r="W22" s="54"/>
      <c r="X22" s="39"/>
      <c r="Y22" s="39"/>
      <c r="Z22" s="40"/>
      <c r="AA22" s="35"/>
    </row>
    <row r="23">
      <c r="B23" s="42" t="s">
        <v>51</v>
      </c>
      <c r="C23" s="43" t="s">
        <v>52</v>
      </c>
      <c r="D23" s="43" t="s">
        <v>53</v>
      </c>
      <c r="E23" s="44" t="s">
        <v>54</v>
      </c>
      <c r="F23" s="45" t="s">
        <v>307</v>
      </c>
      <c r="G23" s="45" t="s">
        <v>308</v>
      </c>
      <c r="H23" s="45" t="s">
        <v>55</v>
      </c>
      <c r="I23" s="27" t="s">
        <v>56</v>
      </c>
      <c r="J23" s="45"/>
      <c r="K23" s="45"/>
      <c r="L23" s="42" t="s">
        <v>51</v>
      </c>
      <c r="M23" s="43" t="s">
        <v>52</v>
      </c>
      <c r="N23" s="43" t="s">
        <v>53</v>
      </c>
      <c r="O23" s="44" t="s">
        <v>54</v>
      </c>
      <c r="P23" s="45" t="s">
        <v>307</v>
      </c>
      <c r="Q23" s="45" t="s">
        <v>308</v>
      </c>
      <c r="R23" s="45" t="s">
        <v>55</v>
      </c>
      <c r="S23" s="27" t="s">
        <v>56</v>
      </c>
      <c r="T23" s="42" t="s">
        <v>51</v>
      </c>
      <c r="U23" s="43" t="s">
        <v>52</v>
      </c>
      <c r="V23" s="43" t="s">
        <v>53</v>
      </c>
      <c r="W23" s="44" t="s">
        <v>54</v>
      </c>
      <c r="X23" s="45" t="s">
        <v>307</v>
      </c>
      <c r="Y23" s="45" t="s">
        <v>308</v>
      </c>
      <c r="Z23" s="45" t="s">
        <v>55</v>
      </c>
      <c r="AA23" s="27" t="s">
        <v>56</v>
      </c>
    </row>
    <row r="24">
      <c r="B24" s="29"/>
      <c r="C24" s="48"/>
      <c r="D24" s="31"/>
      <c r="E24" s="32"/>
      <c r="F24" s="31"/>
      <c r="G24" s="31"/>
      <c r="H24" s="31"/>
      <c r="I24" s="34"/>
      <c r="J24" s="33"/>
      <c r="K24" s="33"/>
      <c r="L24" s="29"/>
      <c r="M24" s="48"/>
      <c r="N24" s="31"/>
      <c r="O24" s="32"/>
      <c r="P24" s="31"/>
      <c r="Q24" s="31"/>
      <c r="R24" s="31"/>
      <c r="S24" s="34"/>
      <c r="T24" s="29"/>
      <c r="U24" s="48"/>
      <c r="V24" s="31"/>
      <c r="W24" s="32"/>
      <c r="X24" s="31"/>
      <c r="Y24" s="31"/>
      <c r="Z24" s="40"/>
      <c r="AA24" s="35"/>
    </row>
    <row r="25">
      <c r="B25" s="28"/>
      <c r="C25" s="48"/>
      <c r="D25" s="31"/>
      <c r="E25" s="32"/>
      <c r="F25" s="31"/>
      <c r="G25" s="31"/>
      <c r="H25" s="31"/>
      <c r="I25" s="34"/>
      <c r="J25" s="33"/>
      <c r="K25" s="33"/>
      <c r="L25" s="28"/>
      <c r="M25" s="48"/>
      <c r="N25" s="31"/>
      <c r="O25" s="32"/>
      <c r="P25" s="31"/>
      <c r="Q25" s="31"/>
      <c r="R25" s="31"/>
      <c r="S25" s="34"/>
      <c r="T25" s="28"/>
      <c r="U25" s="48"/>
      <c r="V25" s="31"/>
      <c r="W25" s="32"/>
      <c r="X25" s="31"/>
      <c r="Y25" s="31"/>
      <c r="Z25" s="40"/>
      <c r="AA25" s="35"/>
    </row>
    <row r="26">
      <c r="B26" s="28"/>
      <c r="C26" s="48"/>
      <c r="D26" s="49"/>
      <c r="E26" s="32"/>
      <c r="F26" s="31"/>
      <c r="G26" s="31"/>
      <c r="H26" s="31"/>
      <c r="I26" s="34"/>
      <c r="J26" s="33"/>
      <c r="K26" s="33"/>
      <c r="L26" s="28"/>
      <c r="M26" s="48"/>
      <c r="N26" s="49"/>
      <c r="O26" s="32"/>
      <c r="P26" s="31"/>
      <c r="Q26" s="31"/>
      <c r="R26" s="31"/>
      <c r="S26" s="34"/>
      <c r="T26" s="28"/>
      <c r="U26" s="48"/>
      <c r="V26" s="49"/>
      <c r="W26" s="32"/>
      <c r="X26" s="31"/>
      <c r="Y26" s="31"/>
      <c r="Z26" s="40"/>
      <c r="AA26" s="35"/>
    </row>
    <row r="27">
      <c r="B27" s="28"/>
      <c r="C27" s="48"/>
      <c r="D27" s="49"/>
      <c r="E27" s="32"/>
      <c r="F27" s="31"/>
      <c r="G27" s="31"/>
      <c r="H27" s="31"/>
      <c r="I27" s="34"/>
      <c r="J27" s="33"/>
      <c r="K27" s="33"/>
      <c r="L27" s="28"/>
      <c r="M27" s="48"/>
      <c r="N27" s="49"/>
      <c r="O27" s="32"/>
      <c r="P27" s="31"/>
      <c r="Q27" s="31"/>
      <c r="R27" s="31"/>
      <c r="S27" s="34"/>
      <c r="T27" s="28"/>
      <c r="U27" s="48"/>
      <c r="V27" s="49"/>
      <c r="W27" s="32"/>
      <c r="X27" s="31"/>
      <c r="Y27" s="31"/>
      <c r="Z27" s="40"/>
      <c r="AA27" s="35"/>
    </row>
    <row r="28">
      <c r="B28" s="28"/>
      <c r="C28" s="48"/>
      <c r="D28" s="49"/>
      <c r="E28" s="32"/>
      <c r="F28" s="31"/>
      <c r="G28" s="31"/>
      <c r="H28" s="31"/>
      <c r="I28" s="35"/>
      <c r="J28" s="31"/>
      <c r="K28" s="31"/>
      <c r="L28" s="28"/>
      <c r="M28" s="48"/>
      <c r="N28" s="49"/>
      <c r="O28" s="32"/>
      <c r="P28" s="31"/>
      <c r="Q28" s="31"/>
      <c r="R28" s="31"/>
      <c r="S28" s="35"/>
      <c r="T28" s="28"/>
      <c r="U28" s="48"/>
      <c r="V28" s="49"/>
      <c r="W28" s="32"/>
      <c r="X28" s="31"/>
      <c r="Y28" s="31"/>
      <c r="Z28" s="40"/>
      <c r="AA28" s="35"/>
    </row>
    <row r="29">
      <c r="B29" s="51"/>
      <c r="C29" s="52"/>
      <c r="D29" s="53"/>
      <c r="E29" s="54"/>
      <c r="F29" s="39"/>
      <c r="G29" s="39"/>
      <c r="H29" s="39"/>
      <c r="I29" s="59"/>
      <c r="J29" s="58"/>
      <c r="K29" s="58"/>
      <c r="L29" s="51"/>
      <c r="M29" s="52"/>
      <c r="N29" s="53"/>
      <c r="O29" s="54"/>
      <c r="P29" s="39"/>
      <c r="Q29" s="39"/>
      <c r="R29" s="39"/>
      <c r="S29" s="59"/>
      <c r="T29" s="51"/>
      <c r="U29" s="52"/>
      <c r="V29" s="53"/>
      <c r="W29" s="54"/>
      <c r="X29" s="39"/>
      <c r="Y29" s="39"/>
      <c r="Z29" s="40"/>
      <c r="AA29" s="35"/>
    </row>
    <row r="30">
      <c r="B30" s="42" t="s">
        <v>51</v>
      </c>
      <c r="C30" s="43" t="s">
        <v>52</v>
      </c>
      <c r="D30" s="43" t="s">
        <v>53</v>
      </c>
      <c r="E30" s="44" t="s">
        <v>54</v>
      </c>
      <c r="F30" s="45" t="s">
        <v>307</v>
      </c>
      <c r="G30" s="45" t="s">
        <v>308</v>
      </c>
      <c r="H30" s="45" t="s">
        <v>55</v>
      </c>
      <c r="I30" s="27" t="s">
        <v>56</v>
      </c>
      <c r="J30" s="45"/>
      <c r="K30" s="45"/>
      <c r="L30" s="42" t="s">
        <v>51</v>
      </c>
      <c r="M30" s="43" t="s">
        <v>52</v>
      </c>
      <c r="N30" s="43" t="s">
        <v>53</v>
      </c>
      <c r="O30" s="44" t="s">
        <v>54</v>
      </c>
      <c r="P30" s="45" t="s">
        <v>307</v>
      </c>
      <c r="Q30" s="45" t="s">
        <v>308</v>
      </c>
      <c r="R30" s="45" t="s">
        <v>55</v>
      </c>
      <c r="S30" s="27" t="s">
        <v>56</v>
      </c>
      <c r="T30" s="42" t="s">
        <v>51</v>
      </c>
      <c r="U30" s="43" t="s">
        <v>52</v>
      </c>
      <c r="V30" s="43" t="s">
        <v>53</v>
      </c>
      <c r="W30" s="44" t="s">
        <v>54</v>
      </c>
      <c r="X30" s="45" t="s">
        <v>307</v>
      </c>
      <c r="Y30" s="45" t="s">
        <v>308</v>
      </c>
      <c r="Z30" s="45" t="s">
        <v>55</v>
      </c>
      <c r="AA30" s="27" t="s">
        <v>56</v>
      </c>
    </row>
    <row r="31">
      <c r="B31" s="29"/>
      <c r="D31" s="31"/>
      <c r="E31" s="32"/>
      <c r="F31" s="31"/>
      <c r="G31" s="31"/>
      <c r="H31" s="31"/>
      <c r="I31" s="35"/>
      <c r="J31" s="31"/>
      <c r="K31" s="31"/>
      <c r="L31" s="29"/>
      <c r="M31" s="48"/>
      <c r="N31" s="31"/>
      <c r="O31" s="32"/>
      <c r="P31" s="141"/>
      <c r="Q31" s="31"/>
      <c r="R31" s="31"/>
      <c r="S31" s="31"/>
      <c r="T31" s="29"/>
      <c r="U31" s="48"/>
      <c r="V31" s="31"/>
      <c r="W31" s="32"/>
      <c r="X31" s="141"/>
      <c r="Y31" s="31"/>
      <c r="Z31" s="31"/>
      <c r="AA31" s="31"/>
    </row>
    <row r="32">
      <c r="B32" s="28"/>
      <c r="C32" s="48"/>
      <c r="D32" s="31"/>
      <c r="E32" s="32"/>
      <c r="F32" s="31"/>
      <c r="G32" s="31"/>
      <c r="H32" s="40"/>
      <c r="I32" s="35"/>
      <c r="J32" s="31"/>
      <c r="K32" s="31"/>
      <c r="L32" s="28"/>
      <c r="M32" s="48"/>
      <c r="N32" s="31"/>
      <c r="O32" s="32"/>
      <c r="P32" s="31"/>
      <c r="Q32" s="31"/>
      <c r="R32" s="31"/>
      <c r="S32" s="35"/>
      <c r="T32" s="28"/>
      <c r="U32" s="48"/>
      <c r="V32" s="31"/>
      <c r="W32" s="32"/>
      <c r="X32" s="31"/>
      <c r="Y32" s="31"/>
      <c r="Z32" s="31"/>
      <c r="AA32" s="35"/>
    </row>
    <row r="33">
      <c r="B33" s="28"/>
      <c r="C33" s="48"/>
      <c r="D33" s="49"/>
      <c r="E33" s="32"/>
      <c r="F33" s="31"/>
      <c r="G33" s="31"/>
      <c r="H33" s="40"/>
      <c r="I33" s="35"/>
      <c r="J33" s="31"/>
      <c r="K33" s="31"/>
      <c r="L33" s="28"/>
      <c r="M33" s="48"/>
      <c r="N33" s="31"/>
      <c r="O33" s="32"/>
      <c r="P33" s="31"/>
      <c r="Q33" s="31"/>
      <c r="R33" s="31"/>
      <c r="S33" s="35"/>
      <c r="T33" s="28"/>
      <c r="U33" s="48"/>
      <c r="V33" s="31"/>
      <c r="W33" s="32"/>
      <c r="X33" s="31"/>
      <c r="Y33" s="31"/>
      <c r="Z33" s="31"/>
      <c r="AA33" s="35"/>
    </row>
    <row r="34">
      <c r="B34" s="28"/>
      <c r="C34" s="48"/>
      <c r="D34" s="49"/>
      <c r="E34" s="32"/>
      <c r="F34" s="31"/>
      <c r="G34" s="31"/>
      <c r="H34" s="40"/>
      <c r="I34" s="35"/>
      <c r="J34" s="31"/>
      <c r="K34" s="31"/>
      <c r="L34" s="28"/>
      <c r="M34" s="48"/>
      <c r="N34" s="31"/>
      <c r="O34" s="32"/>
      <c r="P34" s="31"/>
      <c r="Q34" s="31"/>
      <c r="R34" s="31"/>
      <c r="S34" s="35"/>
      <c r="T34" s="28"/>
      <c r="U34" s="48"/>
      <c r="V34" s="31"/>
      <c r="W34" s="32"/>
      <c r="X34" s="31"/>
      <c r="Y34" s="31"/>
      <c r="Z34" s="31"/>
      <c r="AA34" s="35"/>
    </row>
    <row r="35">
      <c r="B35" s="28"/>
      <c r="C35" s="48"/>
      <c r="D35" s="49"/>
      <c r="E35" s="32"/>
      <c r="F35" s="31"/>
      <c r="G35" s="31"/>
      <c r="H35" s="40"/>
      <c r="I35" s="35"/>
      <c r="J35" s="31"/>
      <c r="K35" s="31"/>
      <c r="L35" s="28"/>
      <c r="M35" s="48"/>
      <c r="N35" s="31"/>
      <c r="O35" s="32"/>
      <c r="P35" s="31"/>
      <c r="Q35" s="31"/>
      <c r="R35" s="31"/>
      <c r="S35" s="35"/>
      <c r="T35" s="28"/>
      <c r="U35" s="48"/>
      <c r="V35" s="31"/>
      <c r="W35" s="32"/>
      <c r="X35" s="31"/>
      <c r="Y35" s="31"/>
      <c r="Z35" s="31"/>
      <c r="AA35" s="35"/>
    </row>
    <row r="36">
      <c r="B36" s="51"/>
      <c r="C36" s="52"/>
      <c r="D36" s="53"/>
      <c r="E36" s="54"/>
      <c r="F36" s="39"/>
      <c r="G36" s="39"/>
      <c r="H36" s="40"/>
      <c r="I36" s="35"/>
      <c r="J36" s="31"/>
      <c r="K36" s="31"/>
      <c r="L36" s="51"/>
      <c r="M36" s="52"/>
      <c r="N36" s="39"/>
      <c r="O36" s="60"/>
      <c r="P36" s="31"/>
      <c r="Q36" s="31"/>
      <c r="R36" s="31"/>
      <c r="S36" s="35"/>
      <c r="T36" s="51"/>
      <c r="U36" s="52"/>
      <c r="V36" s="39"/>
      <c r="W36" s="60"/>
      <c r="X36" s="31"/>
      <c r="Y36" s="31"/>
      <c r="Z36" s="31"/>
      <c r="AA36" s="35"/>
    </row>
    <row r="37">
      <c r="B37" s="42" t="s">
        <v>51</v>
      </c>
      <c r="C37" s="43" t="s">
        <v>52</v>
      </c>
      <c r="D37" s="43" t="s">
        <v>53</v>
      </c>
      <c r="E37" s="44" t="s">
        <v>54</v>
      </c>
      <c r="F37" s="45" t="s">
        <v>307</v>
      </c>
      <c r="G37" s="45" t="s">
        <v>308</v>
      </c>
      <c r="H37" s="45" t="s">
        <v>55</v>
      </c>
      <c r="I37" s="27" t="s">
        <v>56</v>
      </c>
      <c r="J37" s="45"/>
      <c r="K37" s="45"/>
      <c r="L37" s="42" t="s">
        <v>51</v>
      </c>
      <c r="M37" s="43" t="s">
        <v>52</v>
      </c>
      <c r="N37" s="43" t="s">
        <v>53</v>
      </c>
      <c r="O37" s="44" t="s">
        <v>54</v>
      </c>
      <c r="P37" s="45" t="s">
        <v>307</v>
      </c>
      <c r="Q37" s="45" t="s">
        <v>308</v>
      </c>
      <c r="R37" s="45" t="s">
        <v>55</v>
      </c>
      <c r="S37" s="27" t="s">
        <v>56</v>
      </c>
      <c r="T37" s="42" t="s">
        <v>51</v>
      </c>
      <c r="U37" s="43" t="s">
        <v>52</v>
      </c>
      <c r="V37" s="43" t="s">
        <v>53</v>
      </c>
      <c r="W37" s="44" t="s">
        <v>54</v>
      </c>
      <c r="X37" s="45" t="s">
        <v>307</v>
      </c>
      <c r="Y37" s="45" t="s">
        <v>308</v>
      </c>
      <c r="Z37" s="45" t="s">
        <v>55</v>
      </c>
      <c r="AA37" s="27" t="s">
        <v>56</v>
      </c>
    </row>
    <row r="38">
      <c r="B38" s="29"/>
      <c r="C38" s="48"/>
      <c r="D38" s="31"/>
      <c r="E38" s="32"/>
      <c r="F38" s="31"/>
      <c r="G38" s="31"/>
      <c r="H38" s="40"/>
      <c r="I38" s="35"/>
      <c r="J38" s="31"/>
      <c r="K38" s="31"/>
      <c r="L38" s="29"/>
      <c r="M38" s="48"/>
      <c r="N38" s="31"/>
      <c r="O38" s="32"/>
      <c r="P38" s="31"/>
      <c r="Q38" s="31"/>
      <c r="R38" s="31"/>
      <c r="S38" s="34"/>
      <c r="T38" s="29"/>
      <c r="U38" s="48"/>
      <c r="V38" s="31"/>
      <c r="W38" s="32"/>
      <c r="X38" s="31"/>
      <c r="Y38" s="31"/>
      <c r="Z38" s="31"/>
      <c r="AA38" s="34"/>
    </row>
    <row r="39">
      <c r="B39" s="28"/>
      <c r="C39" s="48"/>
      <c r="D39" s="31"/>
      <c r="E39" s="32"/>
      <c r="F39" s="31"/>
      <c r="G39" s="31"/>
      <c r="H39" s="40"/>
      <c r="I39" s="35"/>
      <c r="J39" s="31"/>
      <c r="K39" s="31"/>
      <c r="L39" s="28"/>
      <c r="M39" s="48"/>
      <c r="N39" s="31"/>
      <c r="O39" s="32"/>
      <c r="P39" s="31"/>
      <c r="Q39" s="31"/>
      <c r="R39" s="31"/>
      <c r="S39" s="34"/>
      <c r="T39" s="28"/>
      <c r="U39" s="48"/>
      <c r="V39" s="31"/>
      <c r="W39" s="32"/>
      <c r="X39" s="31"/>
      <c r="Y39" s="31"/>
      <c r="Z39" s="31"/>
      <c r="AA39" s="34"/>
    </row>
    <row r="40">
      <c r="B40" s="28"/>
      <c r="C40" s="48"/>
      <c r="D40" s="49"/>
      <c r="E40" s="32"/>
      <c r="F40" s="31"/>
      <c r="G40" s="31"/>
      <c r="H40" s="40"/>
      <c r="I40" s="35"/>
      <c r="J40" s="31"/>
      <c r="K40" s="31"/>
      <c r="L40" s="28"/>
      <c r="M40" s="48"/>
      <c r="N40" s="49"/>
      <c r="O40" s="32"/>
      <c r="P40" s="31"/>
      <c r="Q40" s="31"/>
      <c r="R40" s="31"/>
      <c r="S40" s="34"/>
      <c r="T40" s="28"/>
      <c r="U40" s="48"/>
      <c r="V40" s="49"/>
      <c r="W40" s="32"/>
      <c r="X40" s="31"/>
      <c r="Y40" s="31"/>
      <c r="Z40" s="31"/>
      <c r="AA40" s="34"/>
    </row>
    <row r="41">
      <c r="B41" s="28"/>
      <c r="C41" s="48"/>
      <c r="D41" s="49"/>
      <c r="E41" s="32"/>
      <c r="F41" s="31"/>
      <c r="G41" s="31"/>
      <c r="H41" s="40"/>
      <c r="I41" s="35"/>
      <c r="J41" s="31"/>
      <c r="K41" s="31"/>
      <c r="L41" s="28"/>
      <c r="M41" s="48"/>
      <c r="N41" s="49"/>
      <c r="O41" s="32"/>
      <c r="P41" s="31"/>
      <c r="Q41" s="31"/>
      <c r="R41" s="31"/>
      <c r="S41" s="34"/>
      <c r="T41" s="28"/>
      <c r="U41" s="48"/>
      <c r="V41" s="49"/>
      <c r="W41" s="32"/>
      <c r="X41" s="31"/>
      <c r="Y41" s="31"/>
      <c r="Z41" s="31"/>
      <c r="AA41" s="34"/>
    </row>
    <row r="42">
      <c r="B42" s="28"/>
      <c r="C42" s="48"/>
      <c r="D42" s="49"/>
      <c r="E42" s="32"/>
      <c r="F42" s="31"/>
      <c r="G42" s="31"/>
      <c r="H42" s="40"/>
      <c r="I42" s="35"/>
      <c r="J42" s="31"/>
      <c r="K42" s="31"/>
      <c r="L42" s="28"/>
      <c r="M42" s="48"/>
      <c r="N42" s="49"/>
      <c r="O42" s="32"/>
      <c r="P42" s="31"/>
      <c r="Q42" s="31"/>
      <c r="R42" s="31"/>
      <c r="S42" s="35"/>
      <c r="T42" s="28"/>
      <c r="U42" s="48"/>
      <c r="V42" s="49"/>
      <c r="W42" s="32"/>
      <c r="X42" s="31"/>
      <c r="Y42" s="31"/>
      <c r="Z42" s="31"/>
      <c r="AA42" s="35"/>
    </row>
    <row r="43">
      <c r="B43" s="51"/>
      <c r="C43" s="52"/>
      <c r="D43" s="53"/>
      <c r="E43" s="54"/>
      <c r="F43" s="39"/>
      <c r="G43" s="39"/>
      <c r="H43" s="40"/>
      <c r="I43" s="35"/>
      <c r="J43" s="31"/>
      <c r="K43" s="31"/>
      <c r="L43" s="51"/>
      <c r="M43" s="52"/>
      <c r="N43" s="53"/>
      <c r="O43" s="54"/>
      <c r="P43" s="39"/>
      <c r="Q43" s="39"/>
      <c r="R43" s="39"/>
      <c r="S43" s="59"/>
      <c r="T43" s="51"/>
      <c r="U43" s="52"/>
      <c r="V43" s="53"/>
      <c r="W43" s="54"/>
      <c r="X43" s="39"/>
      <c r="Y43" s="39"/>
      <c r="Z43" s="39"/>
      <c r="AA43" s="59"/>
    </row>
    <row r="44">
      <c r="B44" s="42" t="s">
        <v>51</v>
      </c>
      <c r="C44" s="43" t="s">
        <v>52</v>
      </c>
      <c r="D44" s="43" t="s">
        <v>53</v>
      </c>
      <c r="E44" s="44" t="s">
        <v>54</v>
      </c>
      <c r="F44" s="45" t="s">
        <v>307</v>
      </c>
      <c r="G44" s="45" t="s">
        <v>308</v>
      </c>
      <c r="H44" s="45" t="s">
        <v>55</v>
      </c>
      <c r="I44" s="27" t="s">
        <v>56</v>
      </c>
      <c r="J44" s="45"/>
      <c r="K44" s="45"/>
      <c r="L44" s="42" t="s">
        <v>51</v>
      </c>
      <c r="M44" s="43" t="s">
        <v>52</v>
      </c>
      <c r="N44" s="43" t="s">
        <v>53</v>
      </c>
      <c r="O44" s="44" t="s">
        <v>54</v>
      </c>
      <c r="P44" s="45" t="s">
        <v>307</v>
      </c>
      <c r="Q44" s="45" t="s">
        <v>308</v>
      </c>
      <c r="R44" s="45" t="s">
        <v>55</v>
      </c>
      <c r="S44" s="27" t="s">
        <v>56</v>
      </c>
      <c r="T44" s="42" t="s">
        <v>51</v>
      </c>
      <c r="U44" s="43" t="s">
        <v>52</v>
      </c>
      <c r="V44" s="43" t="s">
        <v>53</v>
      </c>
      <c r="W44" s="44" t="s">
        <v>54</v>
      </c>
      <c r="X44" s="45" t="s">
        <v>307</v>
      </c>
      <c r="Y44" s="45" t="s">
        <v>308</v>
      </c>
      <c r="Z44" s="45" t="s">
        <v>55</v>
      </c>
      <c r="AA44" s="27" t="s">
        <v>56</v>
      </c>
    </row>
    <row r="45">
      <c r="B45" s="29"/>
      <c r="C45" s="48"/>
      <c r="D45" s="31"/>
      <c r="E45" s="32"/>
      <c r="F45" s="141"/>
      <c r="G45" s="31"/>
      <c r="H45" s="31"/>
      <c r="I45" s="31"/>
      <c r="J45" s="31"/>
      <c r="K45" s="31"/>
      <c r="L45" s="29"/>
      <c r="N45" s="31"/>
      <c r="O45" s="32"/>
      <c r="P45" s="31"/>
      <c r="Q45" s="31"/>
      <c r="R45" s="31"/>
      <c r="S45" s="35"/>
      <c r="T45" s="29"/>
      <c r="U45" s="48"/>
      <c r="V45" s="31"/>
      <c r="W45" s="32"/>
      <c r="X45" s="31"/>
      <c r="Y45" s="31"/>
      <c r="Z45" s="31"/>
      <c r="AA45" s="34"/>
    </row>
    <row r="46">
      <c r="B46" s="28"/>
      <c r="C46" s="48"/>
      <c r="D46" s="31"/>
      <c r="E46" s="32"/>
      <c r="F46" s="31"/>
      <c r="G46" s="31"/>
      <c r="H46" s="31"/>
      <c r="I46" s="35"/>
      <c r="J46" s="31"/>
      <c r="K46" s="31"/>
      <c r="L46" s="28"/>
      <c r="M46" s="48"/>
      <c r="N46" s="31"/>
      <c r="O46" s="32"/>
      <c r="P46" s="31"/>
      <c r="Q46" s="31"/>
      <c r="R46" s="40"/>
      <c r="S46" s="35"/>
      <c r="T46" s="28"/>
      <c r="U46" s="48"/>
      <c r="V46" s="31"/>
      <c r="W46" s="32"/>
      <c r="X46" s="31"/>
      <c r="Y46" s="31"/>
      <c r="Z46" s="31"/>
      <c r="AA46" s="34"/>
    </row>
    <row r="47">
      <c r="B47" s="28"/>
      <c r="C47" s="48"/>
      <c r="D47" s="31"/>
      <c r="E47" s="32"/>
      <c r="F47" s="31"/>
      <c r="G47" s="31"/>
      <c r="H47" s="31"/>
      <c r="I47" s="35"/>
      <c r="J47" s="31"/>
      <c r="K47" s="31"/>
      <c r="L47" s="28"/>
      <c r="M47" s="48"/>
      <c r="N47" s="49"/>
      <c r="O47" s="32"/>
      <c r="P47" s="31"/>
      <c r="Q47" s="31"/>
      <c r="R47" s="40"/>
      <c r="S47" s="35"/>
      <c r="T47" s="28"/>
      <c r="U47" s="48"/>
      <c r="V47" s="49"/>
      <c r="W47" s="32"/>
      <c r="X47" s="31"/>
      <c r="Y47" s="31"/>
      <c r="Z47" s="31"/>
      <c r="AA47" s="34"/>
    </row>
    <row r="48">
      <c r="B48" s="28"/>
      <c r="C48" s="48"/>
      <c r="D48" s="31"/>
      <c r="E48" s="32"/>
      <c r="F48" s="31"/>
      <c r="G48" s="31"/>
      <c r="H48" s="31"/>
      <c r="I48" s="35"/>
      <c r="J48" s="31"/>
      <c r="K48" s="31"/>
      <c r="L48" s="28"/>
      <c r="M48" s="48"/>
      <c r="N48" s="49"/>
      <c r="O48" s="32"/>
      <c r="P48" s="31"/>
      <c r="Q48" s="31"/>
      <c r="R48" s="40"/>
      <c r="S48" s="35"/>
      <c r="T48" s="28"/>
      <c r="U48" s="48"/>
      <c r="V48" s="49"/>
      <c r="W48" s="32"/>
      <c r="X48" s="31"/>
      <c r="Y48" s="31"/>
      <c r="Z48" s="31"/>
      <c r="AA48" s="34"/>
    </row>
    <row r="49">
      <c r="B49" s="28"/>
      <c r="C49" s="48"/>
      <c r="D49" s="31"/>
      <c r="E49" s="32"/>
      <c r="F49" s="31"/>
      <c r="G49" s="31"/>
      <c r="H49" s="31"/>
      <c r="I49" s="35"/>
      <c r="J49" s="31"/>
      <c r="K49" s="31"/>
      <c r="L49" s="28"/>
      <c r="M49" s="48"/>
      <c r="N49" s="49"/>
      <c r="O49" s="32"/>
      <c r="P49" s="31"/>
      <c r="Q49" s="31"/>
      <c r="R49" s="40"/>
      <c r="S49" s="35"/>
      <c r="T49" s="28"/>
      <c r="U49" s="48"/>
      <c r="V49" s="49"/>
      <c r="W49" s="32"/>
      <c r="X49" s="31"/>
      <c r="Y49" s="31"/>
      <c r="Z49" s="31"/>
      <c r="AA49" s="35"/>
    </row>
    <row r="50">
      <c r="B50" s="51"/>
      <c r="C50" s="52"/>
      <c r="D50" s="39"/>
      <c r="E50" s="60"/>
      <c r="F50" s="31"/>
      <c r="G50" s="31"/>
      <c r="H50" s="31"/>
      <c r="I50" s="35"/>
      <c r="J50" s="31"/>
      <c r="K50" s="31"/>
      <c r="L50" s="51"/>
      <c r="M50" s="52"/>
      <c r="N50" s="53"/>
      <c r="O50" s="54"/>
      <c r="P50" s="39"/>
      <c r="Q50" s="39"/>
      <c r="R50" s="40"/>
      <c r="S50" s="35"/>
      <c r="T50" s="51"/>
      <c r="U50" s="52"/>
      <c r="V50" s="53"/>
      <c r="W50" s="54"/>
      <c r="X50" s="39"/>
      <c r="Y50" s="39"/>
      <c r="Z50" s="39"/>
      <c r="AA50" s="59"/>
    </row>
    <row r="51">
      <c r="B51" s="42" t="s">
        <v>51</v>
      </c>
      <c r="C51" s="43" t="s">
        <v>52</v>
      </c>
      <c r="D51" s="43" t="s">
        <v>53</v>
      </c>
      <c r="E51" s="44" t="s">
        <v>54</v>
      </c>
      <c r="F51" s="45" t="s">
        <v>307</v>
      </c>
      <c r="G51" s="45" t="s">
        <v>308</v>
      </c>
      <c r="H51" s="45" t="s">
        <v>55</v>
      </c>
      <c r="I51" s="27" t="s">
        <v>56</v>
      </c>
      <c r="J51" s="45"/>
      <c r="K51" s="45"/>
      <c r="L51" s="42" t="s">
        <v>51</v>
      </c>
      <c r="M51" s="43" t="s">
        <v>52</v>
      </c>
      <c r="N51" s="43" t="s">
        <v>53</v>
      </c>
      <c r="O51" s="44" t="s">
        <v>54</v>
      </c>
      <c r="P51" s="45" t="s">
        <v>307</v>
      </c>
      <c r="Q51" s="45" t="s">
        <v>308</v>
      </c>
      <c r="R51" s="45" t="s">
        <v>55</v>
      </c>
      <c r="S51" s="27" t="s">
        <v>56</v>
      </c>
      <c r="T51" s="42" t="s">
        <v>51</v>
      </c>
      <c r="U51" s="43" t="s">
        <v>52</v>
      </c>
      <c r="V51" s="43" t="s">
        <v>53</v>
      </c>
      <c r="W51" s="44" t="s">
        <v>54</v>
      </c>
      <c r="X51" s="45" t="s">
        <v>307</v>
      </c>
      <c r="Y51" s="45" t="s">
        <v>308</v>
      </c>
      <c r="Z51" s="45" t="s">
        <v>55</v>
      </c>
      <c r="AA51" s="27" t="s">
        <v>56</v>
      </c>
    </row>
    <row r="52">
      <c r="B52" s="29"/>
      <c r="C52" s="48"/>
      <c r="D52" s="31"/>
      <c r="E52" s="32"/>
      <c r="F52" s="31"/>
      <c r="G52" s="31"/>
      <c r="H52" s="31"/>
      <c r="I52" s="34"/>
      <c r="J52" s="33"/>
      <c r="K52" s="33"/>
      <c r="L52" s="29"/>
      <c r="M52" s="48"/>
      <c r="N52" s="31"/>
      <c r="O52" s="32"/>
      <c r="P52" s="31"/>
      <c r="Q52" s="31"/>
      <c r="R52" s="40"/>
      <c r="S52" s="35"/>
      <c r="T52" s="29"/>
      <c r="U52" s="48"/>
      <c r="V52" s="31"/>
      <c r="W52" s="32"/>
      <c r="X52" s="31"/>
      <c r="Y52" s="31"/>
      <c r="Z52" s="31"/>
      <c r="AA52" s="41"/>
    </row>
    <row r="53">
      <c r="B53" s="28"/>
      <c r="C53" s="48"/>
      <c r="D53" s="31"/>
      <c r="E53" s="32"/>
      <c r="F53" s="31"/>
      <c r="G53" s="31"/>
      <c r="H53" s="31"/>
      <c r="I53" s="34"/>
      <c r="J53" s="33"/>
      <c r="K53" s="33"/>
      <c r="L53" s="28"/>
      <c r="M53" s="48"/>
      <c r="N53" s="31"/>
      <c r="O53" s="32"/>
      <c r="P53" s="31"/>
      <c r="Q53" s="31"/>
      <c r="R53" s="40"/>
      <c r="S53" s="35"/>
      <c r="T53" s="28"/>
      <c r="U53" s="48"/>
      <c r="V53" s="31"/>
      <c r="W53" s="32"/>
      <c r="X53" s="31"/>
      <c r="Y53" s="31"/>
      <c r="Z53" s="31"/>
      <c r="AA53" s="41"/>
    </row>
    <row r="54">
      <c r="B54" s="28"/>
      <c r="C54" s="48"/>
      <c r="D54" s="49"/>
      <c r="E54" s="32"/>
      <c r="F54" s="31"/>
      <c r="G54" s="31"/>
      <c r="H54" s="31"/>
      <c r="I54" s="34"/>
      <c r="J54" s="33"/>
      <c r="K54" s="33"/>
      <c r="L54" s="28"/>
      <c r="M54" s="48"/>
      <c r="N54" s="49"/>
      <c r="O54" s="32"/>
      <c r="P54" s="31"/>
      <c r="Q54" s="31"/>
      <c r="R54" s="40"/>
      <c r="S54" s="35"/>
      <c r="T54" s="28"/>
      <c r="U54" s="48"/>
      <c r="V54" s="49"/>
      <c r="W54" s="32"/>
      <c r="X54" s="31"/>
      <c r="Y54" s="31"/>
      <c r="Z54" s="31"/>
      <c r="AA54" s="41"/>
    </row>
    <row r="55">
      <c r="B55" s="28"/>
      <c r="C55" s="48"/>
      <c r="D55" s="49"/>
      <c r="E55" s="32"/>
      <c r="F55" s="31"/>
      <c r="G55" s="31"/>
      <c r="H55" s="31"/>
      <c r="I55" s="34"/>
      <c r="J55" s="33"/>
      <c r="K55" s="33"/>
      <c r="L55" s="28"/>
      <c r="M55" s="48"/>
      <c r="N55" s="49"/>
      <c r="O55" s="32"/>
      <c r="P55" s="31"/>
      <c r="Q55" s="31"/>
      <c r="R55" s="40"/>
      <c r="S55" s="35"/>
      <c r="T55" s="28"/>
      <c r="U55" s="48"/>
      <c r="V55" s="49"/>
      <c r="W55" s="32"/>
      <c r="X55" s="31"/>
      <c r="Y55" s="31"/>
      <c r="Z55" s="31"/>
      <c r="AA55" s="41"/>
    </row>
    <row r="56">
      <c r="B56" s="28"/>
      <c r="C56" s="48"/>
      <c r="D56" s="49"/>
      <c r="E56" s="32"/>
      <c r="F56" s="31"/>
      <c r="G56" s="31"/>
      <c r="H56" s="31"/>
      <c r="I56" s="35"/>
      <c r="J56" s="31"/>
      <c r="K56" s="31"/>
      <c r="L56" s="28"/>
      <c r="M56" s="48"/>
      <c r="N56" s="49"/>
      <c r="O56" s="32"/>
      <c r="P56" s="31"/>
      <c r="Q56" s="31"/>
      <c r="R56" s="40"/>
      <c r="S56" s="35"/>
      <c r="T56" s="28"/>
      <c r="U56" s="48"/>
      <c r="V56" s="49"/>
      <c r="W56" s="32"/>
      <c r="X56" s="31"/>
      <c r="Y56" s="31"/>
      <c r="Z56" s="31"/>
      <c r="AA56" s="41"/>
    </row>
    <row r="57">
      <c r="B57" s="51"/>
      <c r="C57" s="52"/>
      <c r="D57" s="53"/>
      <c r="E57" s="54"/>
      <c r="F57" s="39"/>
      <c r="G57" s="39"/>
      <c r="H57" s="39"/>
      <c r="I57" s="59"/>
      <c r="J57" s="58"/>
      <c r="K57" s="58"/>
      <c r="L57" s="51"/>
      <c r="M57" s="52"/>
      <c r="N57" s="53"/>
      <c r="O57" s="54"/>
      <c r="P57" s="39"/>
      <c r="Q57" s="39"/>
      <c r="R57" s="40"/>
      <c r="S57" s="35"/>
      <c r="T57" s="51"/>
      <c r="U57" s="52"/>
      <c r="V57" s="53"/>
      <c r="W57" s="54"/>
      <c r="X57" s="39"/>
      <c r="Y57" s="39"/>
      <c r="Z57" s="31"/>
      <c r="AA57" s="41"/>
    </row>
    <row r="58">
      <c r="B58" s="42" t="s">
        <v>51</v>
      </c>
      <c r="C58" s="43" t="s">
        <v>52</v>
      </c>
      <c r="D58" s="43" t="s">
        <v>53</v>
      </c>
      <c r="E58" s="44" t="s">
        <v>54</v>
      </c>
      <c r="F58" s="45" t="s">
        <v>307</v>
      </c>
      <c r="G58" s="45" t="s">
        <v>308</v>
      </c>
      <c r="H58" s="45" t="s">
        <v>55</v>
      </c>
      <c r="I58" s="27" t="s">
        <v>56</v>
      </c>
      <c r="J58" s="45"/>
      <c r="K58" s="45"/>
      <c r="L58" s="42" t="s">
        <v>51</v>
      </c>
      <c r="M58" s="43" t="s">
        <v>52</v>
      </c>
      <c r="N58" s="43" t="s">
        <v>53</v>
      </c>
      <c r="O58" s="44" t="s">
        <v>54</v>
      </c>
      <c r="P58" s="45" t="s">
        <v>307</v>
      </c>
      <c r="Q58" s="45" t="s">
        <v>308</v>
      </c>
      <c r="R58" s="45" t="s">
        <v>55</v>
      </c>
      <c r="S58" s="27" t="s">
        <v>56</v>
      </c>
      <c r="T58" s="42" t="s">
        <v>51</v>
      </c>
      <c r="U58" s="43" t="s">
        <v>52</v>
      </c>
      <c r="V58" s="43" t="s">
        <v>53</v>
      </c>
      <c r="W58" s="44" t="s">
        <v>54</v>
      </c>
      <c r="X58" s="45" t="s">
        <v>307</v>
      </c>
      <c r="Y58" s="45" t="s">
        <v>308</v>
      </c>
      <c r="Z58" s="45" t="s">
        <v>55</v>
      </c>
      <c r="AA58" s="27" t="s">
        <v>56</v>
      </c>
    </row>
    <row r="59">
      <c r="B59" s="29"/>
      <c r="C59" s="48"/>
      <c r="D59" s="31"/>
      <c r="E59" s="32"/>
      <c r="F59" s="141"/>
      <c r="G59" s="31"/>
      <c r="H59" s="31"/>
      <c r="I59" s="31"/>
      <c r="J59" s="31"/>
      <c r="K59" s="31"/>
      <c r="L59" s="29"/>
      <c r="M59" s="48"/>
      <c r="N59" s="31"/>
      <c r="O59" s="32"/>
      <c r="P59" s="141"/>
      <c r="Q59" s="31"/>
      <c r="R59" s="31"/>
      <c r="S59" s="31"/>
      <c r="T59" s="29"/>
      <c r="U59" s="48"/>
      <c r="V59" s="31"/>
      <c r="W59" s="32"/>
      <c r="X59" s="31"/>
      <c r="Y59" s="31"/>
      <c r="Z59" s="31"/>
      <c r="AA59" s="41"/>
    </row>
    <row r="60">
      <c r="B60" s="28"/>
      <c r="C60" s="48"/>
      <c r="D60" s="31"/>
      <c r="E60" s="32"/>
      <c r="F60" s="141"/>
      <c r="G60" s="31"/>
      <c r="H60" s="31"/>
      <c r="I60" s="31"/>
      <c r="J60" s="31"/>
      <c r="K60" s="31"/>
      <c r="L60" s="28"/>
      <c r="M60" s="48"/>
      <c r="N60" s="31"/>
      <c r="O60" s="32"/>
      <c r="P60" s="31"/>
      <c r="Q60" s="31"/>
      <c r="R60" s="31"/>
      <c r="S60" s="35"/>
      <c r="T60" s="28"/>
      <c r="U60" s="48"/>
      <c r="V60" s="31"/>
      <c r="W60" s="32"/>
      <c r="X60" s="31"/>
      <c r="Y60" s="31"/>
      <c r="Z60" s="31"/>
      <c r="AA60" s="41"/>
    </row>
    <row r="61">
      <c r="B61" s="28"/>
      <c r="C61" s="48"/>
      <c r="D61" s="31"/>
      <c r="E61" s="32"/>
      <c r="F61" s="31"/>
      <c r="G61" s="31"/>
      <c r="H61" s="31"/>
      <c r="I61" s="31"/>
      <c r="J61" s="31"/>
      <c r="K61" s="31"/>
      <c r="L61" s="28"/>
      <c r="M61" s="48"/>
      <c r="N61" s="31"/>
      <c r="O61" s="32"/>
      <c r="P61" s="31"/>
      <c r="Q61" s="31"/>
      <c r="R61" s="31"/>
      <c r="S61" s="35"/>
      <c r="T61" s="28"/>
      <c r="U61" s="48"/>
      <c r="V61" s="49"/>
      <c r="W61" s="32"/>
      <c r="X61" s="31"/>
      <c r="Y61" s="31"/>
      <c r="Z61" s="31"/>
      <c r="AA61" s="41"/>
    </row>
    <row r="62">
      <c r="B62" s="28"/>
      <c r="C62" s="48"/>
      <c r="D62" s="31"/>
      <c r="E62" s="32"/>
      <c r="F62" s="31"/>
      <c r="G62" s="31"/>
      <c r="H62" s="31"/>
      <c r="I62" s="31"/>
      <c r="J62" s="31"/>
      <c r="K62" s="31"/>
      <c r="L62" s="28"/>
      <c r="M62" s="48"/>
      <c r="N62" s="31"/>
      <c r="O62" s="32"/>
      <c r="P62" s="31"/>
      <c r="Q62" s="31"/>
      <c r="R62" s="31"/>
      <c r="S62" s="35"/>
      <c r="T62" s="28"/>
      <c r="U62" s="48"/>
      <c r="V62" s="49"/>
      <c r="W62" s="32"/>
      <c r="X62" s="31"/>
      <c r="Y62" s="31"/>
      <c r="Z62" s="31"/>
      <c r="AA62" s="41"/>
    </row>
    <row r="63">
      <c r="B63" s="28"/>
      <c r="C63" s="48"/>
      <c r="D63" s="31"/>
      <c r="E63" s="32"/>
      <c r="F63" s="31"/>
      <c r="G63" s="31"/>
      <c r="H63" s="31"/>
      <c r="I63" s="31"/>
      <c r="J63" s="31"/>
      <c r="K63" s="31"/>
      <c r="L63" s="28"/>
      <c r="M63" s="48"/>
      <c r="N63" s="31"/>
      <c r="O63" s="32"/>
      <c r="P63" s="31"/>
      <c r="Q63" s="31"/>
      <c r="R63" s="31"/>
      <c r="S63" s="35"/>
      <c r="T63" s="28"/>
      <c r="U63" s="48"/>
      <c r="V63" s="49"/>
      <c r="W63" s="32"/>
      <c r="X63" s="31"/>
      <c r="Y63" s="31"/>
      <c r="Z63" s="31"/>
      <c r="AA63" s="41"/>
    </row>
    <row r="64">
      <c r="B64" s="51"/>
      <c r="C64" s="52"/>
      <c r="D64" s="39"/>
      <c r="E64" s="60"/>
      <c r="F64" s="31"/>
      <c r="G64" s="31"/>
      <c r="H64" s="31"/>
      <c r="I64" s="31"/>
      <c r="J64" s="31"/>
      <c r="K64" s="31"/>
      <c r="L64" s="51"/>
      <c r="M64" s="52"/>
      <c r="N64" s="39"/>
      <c r="O64" s="60"/>
      <c r="P64" s="31"/>
      <c r="Q64" s="31"/>
      <c r="R64" s="31"/>
      <c r="S64" s="35"/>
      <c r="T64" s="51"/>
      <c r="U64" s="52"/>
      <c r="V64" s="53"/>
      <c r="W64" s="54"/>
      <c r="X64" s="39"/>
      <c r="Y64" s="39"/>
      <c r="Z64" s="31"/>
      <c r="AA64" s="41"/>
    </row>
    <row r="65">
      <c r="B65" s="42" t="s">
        <v>51</v>
      </c>
      <c r="C65" s="43" t="s">
        <v>52</v>
      </c>
      <c r="D65" s="43" t="s">
        <v>53</v>
      </c>
      <c r="E65" s="44" t="s">
        <v>54</v>
      </c>
      <c r="F65" s="45" t="s">
        <v>307</v>
      </c>
      <c r="G65" s="45" t="s">
        <v>308</v>
      </c>
      <c r="H65" s="45" t="s">
        <v>55</v>
      </c>
      <c r="I65" s="27" t="s">
        <v>56</v>
      </c>
      <c r="J65" s="45"/>
      <c r="K65" s="45"/>
      <c r="L65" s="42" t="s">
        <v>51</v>
      </c>
      <c r="M65" s="43" t="s">
        <v>52</v>
      </c>
      <c r="N65" s="43" t="s">
        <v>53</v>
      </c>
      <c r="O65" s="44" t="s">
        <v>54</v>
      </c>
      <c r="P65" s="45" t="s">
        <v>307</v>
      </c>
      <c r="Q65" s="45" t="s">
        <v>308</v>
      </c>
      <c r="R65" s="45" t="s">
        <v>55</v>
      </c>
      <c r="S65" s="27" t="s">
        <v>56</v>
      </c>
      <c r="T65" s="42" t="s">
        <v>51</v>
      </c>
      <c r="U65" s="43" t="s">
        <v>52</v>
      </c>
      <c r="V65" s="43" t="s">
        <v>53</v>
      </c>
      <c r="W65" s="44" t="s">
        <v>54</v>
      </c>
      <c r="X65" s="45" t="s">
        <v>307</v>
      </c>
      <c r="Y65" s="45" t="s">
        <v>308</v>
      </c>
      <c r="Z65" s="45" t="s">
        <v>55</v>
      </c>
      <c r="AA65" s="27" t="s">
        <v>56</v>
      </c>
    </row>
    <row r="66">
      <c r="B66" s="29"/>
      <c r="C66" s="48"/>
      <c r="D66" s="31"/>
      <c r="E66" s="32"/>
      <c r="F66" s="31"/>
      <c r="G66" s="31"/>
      <c r="H66" s="33"/>
      <c r="I66" s="33"/>
      <c r="J66" s="33"/>
      <c r="K66" s="33"/>
      <c r="L66" s="29"/>
      <c r="M66" s="48"/>
      <c r="N66" s="31"/>
      <c r="O66" s="32"/>
      <c r="P66" s="31"/>
      <c r="Q66" s="31"/>
      <c r="R66" s="31"/>
      <c r="S66" s="34"/>
      <c r="T66" s="29"/>
      <c r="U66" s="48"/>
      <c r="V66" s="31"/>
      <c r="W66" s="32"/>
      <c r="X66" s="31"/>
      <c r="Y66" s="31"/>
      <c r="Z66" s="31"/>
      <c r="AA66" s="35"/>
    </row>
    <row r="67">
      <c r="B67" s="28"/>
      <c r="C67" s="48"/>
      <c r="D67" s="31"/>
      <c r="E67" s="32"/>
      <c r="F67" s="31"/>
      <c r="G67" s="31"/>
      <c r="H67" s="33"/>
      <c r="I67" s="33"/>
      <c r="J67" s="33"/>
      <c r="K67" s="33"/>
      <c r="L67" s="28"/>
      <c r="M67" s="48"/>
      <c r="N67" s="31"/>
      <c r="O67" s="32"/>
      <c r="P67" s="31"/>
      <c r="Q67" s="31"/>
      <c r="R67" s="31"/>
      <c r="S67" s="34"/>
      <c r="T67" s="28"/>
      <c r="U67" s="48"/>
      <c r="V67" s="31"/>
      <c r="W67" s="32"/>
      <c r="X67" s="31"/>
      <c r="Y67" s="31"/>
      <c r="Z67" s="31"/>
      <c r="AA67" s="35"/>
    </row>
    <row r="68">
      <c r="B68" s="28"/>
      <c r="C68" s="48"/>
      <c r="D68" s="31"/>
      <c r="E68" s="32"/>
      <c r="F68" s="31"/>
      <c r="G68" s="31"/>
      <c r="H68" s="33"/>
      <c r="I68" s="33"/>
      <c r="J68" s="33"/>
      <c r="K68" s="33"/>
      <c r="L68" s="28"/>
      <c r="M68" s="48"/>
      <c r="N68" s="49"/>
      <c r="O68" s="32"/>
      <c r="P68" s="31"/>
      <c r="Q68" s="31"/>
      <c r="R68" s="31"/>
      <c r="S68" s="34"/>
      <c r="T68" s="28"/>
      <c r="U68" s="48"/>
      <c r="V68" s="49"/>
      <c r="W68" s="32"/>
      <c r="X68" s="31"/>
      <c r="Y68" s="31"/>
      <c r="Z68" s="31"/>
      <c r="AA68" s="35"/>
    </row>
    <row r="69">
      <c r="B69" s="28"/>
      <c r="C69" s="48"/>
      <c r="D69" s="31"/>
      <c r="E69" s="32"/>
      <c r="F69" s="31"/>
      <c r="G69" s="31"/>
      <c r="H69" s="33"/>
      <c r="I69" s="33"/>
      <c r="J69" s="33"/>
      <c r="K69" s="33"/>
      <c r="L69" s="28"/>
      <c r="M69" s="48"/>
      <c r="N69" s="49"/>
      <c r="O69" s="32"/>
      <c r="P69" s="31"/>
      <c r="Q69" s="31"/>
      <c r="R69" s="31"/>
      <c r="S69" s="34"/>
      <c r="T69" s="28"/>
      <c r="U69" s="48"/>
      <c r="V69" s="49"/>
      <c r="W69" s="32"/>
      <c r="X69" s="31"/>
      <c r="Y69" s="31"/>
      <c r="Z69" s="31"/>
      <c r="AA69" s="35"/>
    </row>
    <row r="70">
      <c r="B70" s="28"/>
      <c r="C70" s="48"/>
      <c r="D70" s="31"/>
      <c r="E70" s="32"/>
      <c r="F70" s="31"/>
      <c r="G70" s="31"/>
      <c r="H70" s="31"/>
      <c r="I70" s="31"/>
      <c r="J70" s="31"/>
      <c r="K70" s="31"/>
      <c r="L70" s="28"/>
      <c r="M70" s="48"/>
      <c r="N70" s="49"/>
      <c r="O70" s="32"/>
      <c r="P70" s="31"/>
      <c r="Q70" s="31"/>
      <c r="R70" s="31"/>
      <c r="S70" s="35"/>
      <c r="T70" s="28"/>
      <c r="U70" s="48"/>
      <c r="V70" s="49"/>
      <c r="W70" s="32"/>
      <c r="X70" s="31"/>
      <c r="Y70" s="31"/>
      <c r="Z70" s="31"/>
      <c r="AA70" s="35"/>
    </row>
    <row r="71">
      <c r="B71" s="51"/>
      <c r="C71" s="52"/>
      <c r="D71" s="39"/>
      <c r="E71" s="60"/>
      <c r="F71" s="39"/>
      <c r="G71" s="39"/>
      <c r="H71" s="40"/>
      <c r="I71" s="40"/>
      <c r="J71" s="40"/>
      <c r="K71" s="40"/>
      <c r="L71" s="51"/>
      <c r="M71" s="52"/>
      <c r="N71" s="53"/>
      <c r="O71" s="54"/>
      <c r="P71" s="39"/>
      <c r="Q71" s="39"/>
      <c r="R71" s="39"/>
      <c r="S71" s="59"/>
      <c r="T71" s="51"/>
      <c r="U71" s="52"/>
      <c r="V71" s="53"/>
      <c r="W71" s="54"/>
      <c r="X71" s="39"/>
      <c r="Y71" s="39"/>
      <c r="Z71" s="31"/>
      <c r="AA71" s="35"/>
    </row>
    <row r="72">
      <c r="B72" s="142"/>
      <c r="C72" s="143"/>
      <c r="D72" s="143"/>
      <c r="E72" s="143"/>
      <c r="F72" s="143"/>
      <c r="G72" s="143"/>
      <c r="H72" s="143"/>
      <c r="I72" s="143"/>
      <c r="J72" s="143"/>
      <c r="K72" s="143"/>
      <c r="L72" s="143"/>
      <c r="M72" s="143"/>
      <c r="N72" s="143"/>
      <c r="O72" s="143"/>
      <c r="P72" s="143"/>
      <c r="Q72" s="143"/>
      <c r="R72" s="66"/>
      <c r="S72" s="143"/>
      <c r="T72" s="143"/>
      <c r="U72" s="143"/>
      <c r="V72" s="143"/>
      <c r="W72" s="143"/>
      <c r="X72" s="143"/>
      <c r="Y72" s="143"/>
      <c r="Z72" s="143"/>
      <c r="AA72" s="143"/>
    </row>
    <row r="73">
      <c r="C73" s="66"/>
      <c r="D73" s="66"/>
      <c r="E73" s="66"/>
      <c r="F73" s="66"/>
      <c r="G73" s="66"/>
      <c r="H73" s="66"/>
      <c r="I73" s="66"/>
      <c r="J73" s="66"/>
      <c r="K73" s="66"/>
      <c r="L73" s="66"/>
      <c r="M73" s="66"/>
      <c r="N73" s="66"/>
      <c r="O73" s="66"/>
      <c r="P73" s="66"/>
      <c r="Q73" s="66"/>
      <c r="R73" s="66"/>
      <c r="S73" s="66"/>
      <c r="T73" s="66"/>
      <c r="U73" s="66"/>
      <c r="V73" s="66"/>
      <c r="W73" s="66"/>
      <c r="X73" s="66"/>
      <c r="Y73" s="66"/>
      <c r="Z73" s="66"/>
      <c r="AA73" s="66"/>
    </row>
    <row r="74">
      <c r="B74" s="48"/>
      <c r="C74" s="48"/>
      <c r="D74" s="66"/>
      <c r="E74" s="66"/>
      <c r="F74" s="66"/>
      <c r="G74" s="66"/>
      <c r="H74" s="66"/>
      <c r="I74" s="66"/>
      <c r="J74" s="66"/>
      <c r="K74" s="66"/>
      <c r="L74" s="66"/>
      <c r="M74" s="66"/>
      <c r="N74" s="66"/>
      <c r="O74" s="66"/>
      <c r="P74" s="66"/>
      <c r="Q74" s="66"/>
      <c r="R74" s="66"/>
      <c r="S74" s="66"/>
      <c r="T74" s="66"/>
      <c r="U74" s="66"/>
      <c r="V74" s="66"/>
      <c r="W74" s="66"/>
      <c r="X74" s="66"/>
      <c r="Y74" s="66"/>
      <c r="Z74" s="66"/>
      <c r="AA74" s="66"/>
    </row>
    <row r="75">
      <c r="B75" s="48"/>
      <c r="C75" s="48"/>
      <c r="D75" s="66"/>
      <c r="E75" s="66"/>
      <c r="F75" s="66"/>
      <c r="G75" s="66"/>
      <c r="H75" s="66"/>
      <c r="I75" s="66"/>
      <c r="J75" s="66"/>
      <c r="K75" s="66"/>
      <c r="L75" s="66"/>
      <c r="M75" s="66"/>
      <c r="N75" s="66"/>
      <c r="O75" s="66"/>
      <c r="P75" s="66"/>
      <c r="Q75" s="66"/>
      <c r="R75" s="66"/>
      <c r="S75" s="66"/>
      <c r="T75" s="66"/>
      <c r="U75" s="66"/>
      <c r="V75" s="66"/>
      <c r="W75" s="66"/>
      <c r="X75" s="66"/>
      <c r="Y75" s="66"/>
      <c r="Z75" s="66"/>
      <c r="AA75" s="66"/>
    </row>
    <row r="76">
      <c r="B76" s="48"/>
      <c r="C76" s="48"/>
      <c r="D76" s="66"/>
      <c r="E76" s="66"/>
      <c r="F76" s="66"/>
      <c r="G76" s="66"/>
      <c r="H76" s="66"/>
      <c r="I76" s="66"/>
      <c r="J76" s="66"/>
      <c r="K76" s="66"/>
      <c r="L76" s="66"/>
      <c r="M76" s="66"/>
      <c r="N76" s="66"/>
      <c r="O76" s="66"/>
      <c r="P76" s="66"/>
      <c r="Q76" s="66"/>
      <c r="R76" s="66"/>
      <c r="S76" s="66"/>
      <c r="T76" s="66"/>
      <c r="U76" s="66"/>
      <c r="V76" s="66"/>
      <c r="W76" s="66"/>
      <c r="X76" s="66"/>
      <c r="Y76" s="66"/>
      <c r="Z76" s="66"/>
      <c r="AA76" s="66"/>
    </row>
    <row r="77">
      <c r="B77" s="48"/>
      <c r="C77" s="48"/>
      <c r="D77" s="66"/>
      <c r="E77" s="66"/>
      <c r="F77" s="66"/>
      <c r="G77" s="66"/>
      <c r="H77" s="66"/>
      <c r="I77" s="66"/>
      <c r="J77" s="66"/>
      <c r="K77" s="66"/>
      <c r="L77" s="66"/>
      <c r="M77" s="66"/>
      <c r="N77" s="66"/>
      <c r="O77" s="66"/>
      <c r="P77" s="66"/>
      <c r="Q77" s="66"/>
      <c r="R77" s="66"/>
      <c r="S77" s="66"/>
      <c r="T77" s="66"/>
      <c r="U77" s="66"/>
      <c r="V77" s="66"/>
      <c r="W77" s="66"/>
      <c r="X77" s="66"/>
      <c r="Y77" s="66"/>
      <c r="Z77" s="66"/>
      <c r="AA77" s="66"/>
    </row>
    <row r="78">
      <c r="B78" s="48"/>
      <c r="C78" s="48"/>
      <c r="D78" s="66"/>
      <c r="E78" s="66"/>
      <c r="F78" s="66"/>
      <c r="G78" s="66"/>
      <c r="H78" s="66"/>
      <c r="I78" s="66"/>
      <c r="J78" s="66"/>
      <c r="K78" s="66"/>
      <c r="L78" s="66"/>
      <c r="M78" s="66"/>
      <c r="N78" s="66"/>
      <c r="O78" s="66"/>
      <c r="P78" s="66"/>
      <c r="Q78" s="66"/>
      <c r="R78" s="66"/>
      <c r="S78" s="66"/>
      <c r="T78" s="66"/>
      <c r="U78" s="66"/>
      <c r="V78" s="66"/>
      <c r="W78" s="66"/>
      <c r="X78" s="66"/>
      <c r="Y78" s="66"/>
      <c r="Z78" s="66"/>
      <c r="AA78" s="66"/>
    </row>
    <row r="79">
      <c r="B79" s="48"/>
      <c r="C79" s="48"/>
      <c r="D79" s="66"/>
      <c r="E79" s="66"/>
      <c r="F79" s="66"/>
      <c r="G79" s="66"/>
      <c r="H79" s="66"/>
      <c r="I79" s="66"/>
      <c r="J79" s="66"/>
      <c r="K79" s="66"/>
      <c r="L79" s="66"/>
      <c r="M79" s="66"/>
      <c r="N79" s="66"/>
      <c r="O79" s="66"/>
      <c r="P79" s="66"/>
      <c r="Q79" s="66"/>
      <c r="R79" s="66"/>
      <c r="S79" s="66"/>
      <c r="T79" s="66"/>
      <c r="U79" s="66"/>
      <c r="V79" s="66"/>
      <c r="W79" s="66"/>
      <c r="X79" s="66"/>
      <c r="Y79" s="66"/>
      <c r="Z79" s="66"/>
      <c r="AA79" s="66"/>
    </row>
    <row r="80">
      <c r="C80" s="48"/>
      <c r="D80" s="66"/>
      <c r="E80" s="66"/>
      <c r="F80" s="66"/>
      <c r="G80" s="66"/>
      <c r="H80" s="66"/>
      <c r="I80" s="66"/>
      <c r="J80" s="66"/>
      <c r="K80" s="66"/>
      <c r="L80" s="66"/>
      <c r="M80" s="66"/>
      <c r="N80" s="66"/>
      <c r="O80" s="66"/>
      <c r="P80" s="66"/>
      <c r="Q80" s="66"/>
      <c r="R80" s="66"/>
      <c r="S80" s="66"/>
      <c r="T80" s="66"/>
      <c r="U80" s="66"/>
      <c r="V80" s="66"/>
      <c r="W80" s="66"/>
      <c r="X80" s="66"/>
      <c r="Y80" s="66"/>
      <c r="Z80" s="66"/>
      <c r="AA80" s="66"/>
    </row>
    <row r="81">
      <c r="B81" s="31" t="s">
        <v>17</v>
      </c>
      <c r="C81" s="47" t="s">
        <v>200</v>
      </c>
      <c r="D81" s="66"/>
      <c r="E81" s="66"/>
      <c r="F81" s="66"/>
      <c r="G81" s="66"/>
      <c r="H81" s="66"/>
      <c r="I81" s="66"/>
      <c r="J81" s="66"/>
      <c r="K81" s="66"/>
      <c r="L81" s="66"/>
      <c r="M81" s="66"/>
      <c r="N81" s="66"/>
      <c r="O81" s="66"/>
      <c r="P81" s="66"/>
      <c r="Q81" s="66"/>
      <c r="R81" s="66"/>
      <c r="S81" s="66"/>
      <c r="T81" s="66"/>
      <c r="U81" s="66"/>
      <c r="V81" s="66"/>
      <c r="W81" s="66"/>
      <c r="X81" s="66"/>
      <c r="Y81" s="66"/>
      <c r="Z81" s="66"/>
      <c r="AA81" s="66"/>
    </row>
    <row r="82">
      <c r="C82" s="47" t="s">
        <v>201</v>
      </c>
      <c r="D82" s="66"/>
      <c r="E82" s="66"/>
      <c r="F82" s="66"/>
      <c r="G82" s="66"/>
      <c r="H82" s="66"/>
      <c r="I82" s="66"/>
      <c r="J82" s="66"/>
      <c r="K82" s="66"/>
      <c r="L82" s="66"/>
      <c r="M82" s="66"/>
      <c r="N82" s="66"/>
      <c r="O82" s="66"/>
      <c r="P82" s="66"/>
      <c r="Q82" s="66"/>
      <c r="R82" s="66"/>
      <c r="S82" s="66"/>
      <c r="T82" s="66"/>
      <c r="U82" s="66"/>
      <c r="V82" s="66"/>
      <c r="W82" s="66"/>
      <c r="X82" s="66"/>
      <c r="Y82" s="66"/>
      <c r="Z82" s="66"/>
      <c r="AA82" s="66"/>
    </row>
    <row r="83">
      <c r="C83" s="47" t="s">
        <v>202</v>
      </c>
      <c r="D83" s="66"/>
      <c r="E83" s="66"/>
      <c r="F83" s="66"/>
      <c r="G83" s="66"/>
      <c r="H83" s="66"/>
      <c r="I83" s="66"/>
      <c r="J83" s="66"/>
      <c r="K83" s="66"/>
      <c r="L83" s="66"/>
      <c r="M83" s="66"/>
      <c r="N83" s="66"/>
      <c r="O83" s="66"/>
      <c r="P83" s="66"/>
      <c r="Q83" s="66"/>
      <c r="R83" s="66"/>
      <c r="S83" s="66"/>
      <c r="T83" s="66"/>
      <c r="U83" s="66"/>
      <c r="V83" s="66"/>
      <c r="W83" s="66"/>
      <c r="X83" s="66"/>
      <c r="Y83" s="66"/>
      <c r="Z83" s="66"/>
      <c r="AA83" s="66"/>
    </row>
    <row r="84">
      <c r="C84" s="47" t="s">
        <v>203</v>
      </c>
      <c r="D84" s="66"/>
      <c r="E84" s="66"/>
      <c r="F84" s="66"/>
      <c r="G84" s="66"/>
      <c r="H84" s="66"/>
      <c r="I84" s="66"/>
      <c r="J84" s="66"/>
      <c r="K84" s="66"/>
      <c r="L84" s="66"/>
      <c r="M84" s="66"/>
      <c r="N84" s="66"/>
      <c r="O84" s="66"/>
      <c r="P84" s="66"/>
      <c r="Q84" s="66"/>
      <c r="R84" s="66"/>
      <c r="S84" s="66"/>
      <c r="T84" s="66"/>
      <c r="U84" s="66"/>
      <c r="V84" s="66"/>
      <c r="W84" s="66"/>
      <c r="X84" s="66"/>
      <c r="Y84" s="66"/>
      <c r="Z84" s="66"/>
      <c r="AA84" s="66"/>
    </row>
    <row r="85">
      <c r="C85" s="47" t="s">
        <v>204</v>
      </c>
      <c r="D85" s="48"/>
      <c r="E85" s="66"/>
      <c r="F85" s="66"/>
      <c r="G85" s="66"/>
      <c r="H85" s="66"/>
      <c r="I85" s="66"/>
      <c r="J85" s="66"/>
      <c r="K85" s="66"/>
      <c r="L85" s="66"/>
      <c r="M85" s="66"/>
      <c r="N85" s="66"/>
      <c r="O85" s="66"/>
      <c r="P85" s="66"/>
      <c r="Q85" s="66"/>
      <c r="R85" s="66"/>
      <c r="S85" s="66"/>
      <c r="T85" s="66"/>
      <c r="U85" s="66"/>
      <c r="V85" s="66"/>
      <c r="W85" s="66"/>
      <c r="X85" s="66"/>
      <c r="Y85" s="66"/>
      <c r="Z85" s="66"/>
      <c r="AA85" s="66"/>
    </row>
    <row r="86">
      <c r="C86" s="47" t="s">
        <v>205</v>
      </c>
      <c r="D86" s="66"/>
      <c r="E86" s="66"/>
      <c r="F86" s="66"/>
      <c r="G86" s="66"/>
      <c r="H86" s="66"/>
      <c r="I86" s="66"/>
      <c r="J86" s="66"/>
      <c r="K86" s="66"/>
      <c r="L86" s="66"/>
      <c r="M86" s="66"/>
      <c r="N86" s="66"/>
      <c r="O86" s="66"/>
      <c r="P86" s="66"/>
      <c r="Q86" s="66"/>
      <c r="R86" s="66"/>
      <c r="S86" s="66"/>
      <c r="T86" s="66"/>
      <c r="U86" s="66"/>
      <c r="V86" s="66"/>
      <c r="W86" s="66"/>
      <c r="X86" s="66"/>
      <c r="Y86" s="66"/>
      <c r="Z86" s="66"/>
      <c r="AA86" s="66"/>
    </row>
    <row r="87">
      <c r="C87" s="47" t="s">
        <v>206</v>
      </c>
      <c r="D87" s="66"/>
      <c r="E87" s="66"/>
      <c r="F87" s="66"/>
      <c r="G87" s="66"/>
      <c r="H87" s="66"/>
      <c r="I87" s="66"/>
      <c r="J87" s="66"/>
      <c r="K87" s="66"/>
      <c r="L87" s="66"/>
      <c r="M87" s="66"/>
      <c r="N87" s="66"/>
      <c r="O87" s="66"/>
      <c r="P87" s="66"/>
      <c r="Q87" s="66"/>
      <c r="R87" s="66"/>
      <c r="S87" s="66"/>
      <c r="T87" s="66"/>
      <c r="U87" s="66"/>
      <c r="V87" s="66"/>
      <c r="W87" s="66"/>
      <c r="X87" s="66"/>
      <c r="Y87" s="66"/>
      <c r="Z87" s="66"/>
      <c r="AA87" s="66"/>
    </row>
    <row r="88">
      <c r="C88" s="66"/>
      <c r="D88" s="66"/>
      <c r="E88" s="66"/>
      <c r="F88" s="66"/>
      <c r="G88" s="66"/>
      <c r="H88" s="66"/>
      <c r="I88" s="66"/>
      <c r="J88" s="66"/>
      <c r="K88" s="66"/>
      <c r="L88" s="66"/>
      <c r="M88" s="66"/>
      <c r="N88" s="66"/>
      <c r="O88" s="66"/>
      <c r="P88" s="66"/>
      <c r="Q88" s="66"/>
      <c r="R88" s="66"/>
      <c r="S88" s="66"/>
      <c r="T88" s="66"/>
      <c r="U88" s="66"/>
      <c r="V88" s="66"/>
      <c r="W88" s="66"/>
      <c r="X88" s="66"/>
      <c r="Y88" s="66"/>
      <c r="Z88" s="66"/>
      <c r="AA88" s="66"/>
    </row>
    <row r="89">
      <c r="C89" s="66"/>
      <c r="D89" s="66"/>
      <c r="E89" s="66"/>
      <c r="F89" s="66"/>
      <c r="G89" s="66"/>
      <c r="H89" s="66"/>
      <c r="I89" s="66"/>
      <c r="J89" s="66"/>
      <c r="K89" s="66"/>
      <c r="L89" s="66"/>
      <c r="M89" s="66"/>
      <c r="N89" s="66"/>
      <c r="O89" s="66"/>
      <c r="P89" s="66"/>
      <c r="Q89" s="66"/>
      <c r="R89" s="66"/>
      <c r="S89" s="66"/>
      <c r="T89" s="66"/>
      <c r="U89" s="66"/>
      <c r="V89" s="66"/>
      <c r="W89" s="66"/>
      <c r="X89" s="66"/>
      <c r="Y89" s="66"/>
      <c r="Z89" s="66"/>
      <c r="AA89" s="66"/>
    </row>
    <row r="90">
      <c r="C90" s="66"/>
      <c r="D90" s="66"/>
      <c r="E90" s="66"/>
      <c r="F90" s="66"/>
      <c r="G90" s="66"/>
      <c r="H90" s="66"/>
      <c r="I90" s="66"/>
      <c r="J90" s="66"/>
      <c r="K90" s="66"/>
      <c r="L90" s="66"/>
      <c r="M90" s="66"/>
      <c r="N90" s="66"/>
      <c r="O90" s="66"/>
      <c r="P90" s="66"/>
      <c r="Q90" s="66"/>
      <c r="R90" s="66"/>
      <c r="S90" s="66"/>
      <c r="T90" s="66"/>
      <c r="U90" s="66"/>
      <c r="V90" s="66"/>
      <c r="W90" s="66"/>
      <c r="X90" s="66"/>
      <c r="Y90" s="66"/>
      <c r="Z90" s="66"/>
      <c r="AA90" s="66"/>
    </row>
    <row r="91">
      <c r="C91" s="66"/>
      <c r="D91" s="66"/>
      <c r="E91" s="66"/>
      <c r="F91" s="66"/>
      <c r="G91" s="66"/>
      <c r="H91" s="66"/>
      <c r="I91" s="66"/>
      <c r="J91" s="66"/>
      <c r="K91" s="66"/>
      <c r="L91" s="66"/>
      <c r="M91" s="66"/>
      <c r="N91" s="66"/>
      <c r="O91" s="66"/>
      <c r="P91" s="66"/>
      <c r="Q91" s="66"/>
      <c r="R91" s="66"/>
      <c r="S91" s="66"/>
      <c r="T91" s="66"/>
      <c r="U91" s="66"/>
      <c r="V91" s="66"/>
      <c r="W91" s="66"/>
      <c r="X91" s="66"/>
      <c r="Y91" s="66"/>
      <c r="Z91" s="66"/>
      <c r="AA91" s="66"/>
    </row>
    <row r="92">
      <c r="C92" s="66"/>
      <c r="D92" s="66"/>
      <c r="E92" s="66"/>
      <c r="F92" s="66"/>
      <c r="G92" s="66"/>
      <c r="H92" s="66"/>
      <c r="I92" s="66"/>
      <c r="J92" s="66"/>
      <c r="K92" s="66"/>
      <c r="L92" s="66"/>
      <c r="M92" s="66"/>
      <c r="N92" s="66"/>
      <c r="O92" s="66"/>
      <c r="P92" s="66"/>
      <c r="Q92" s="66"/>
      <c r="R92" s="66"/>
      <c r="S92" s="66"/>
      <c r="T92" s="66"/>
      <c r="U92" s="66"/>
      <c r="V92" s="66"/>
      <c r="W92" s="66"/>
      <c r="X92" s="66"/>
      <c r="Y92" s="66"/>
      <c r="Z92" s="66"/>
      <c r="AA92" s="66"/>
    </row>
    <row r="93">
      <c r="C93" s="66"/>
      <c r="D93" s="66"/>
      <c r="E93" s="66"/>
      <c r="F93" s="66"/>
      <c r="G93" s="66"/>
      <c r="H93" s="66"/>
      <c r="I93" s="66"/>
      <c r="J93" s="66"/>
      <c r="K93" s="66"/>
      <c r="L93" s="66"/>
      <c r="M93" s="66"/>
      <c r="N93" s="66"/>
      <c r="O93" s="66"/>
      <c r="P93" s="66"/>
      <c r="Q93" s="66"/>
      <c r="R93" s="66"/>
      <c r="S93" s="66"/>
      <c r="T93" s="66"/>
      <c r="U93" s="66"/>
      <c r="V93" s="66"/>
      <c r="W93" s="66"/>
      <c r="X93" s="66"/>
      <c r="Y93" s="66"/>
      <c r="Z93" s="66"/>
      <c r="AA93" s="66"/>
    </row>
    <row r="94">
      <c r="C94" s="66"/>
      <c r="D94" s="66"/>
      <c r="E94" s="66"/>
      <c r="F94" s="66"/>
      <c r="G94" s="66"/>
      <c r="H94" s="66"/>
      <c r="I94" s="66"/>
      <c r="J94" s="66"/>
      <c r="K94" s="66"/>
      <c r="L94" s="66"/>
      <c r="M94" s="66"/>
      <c r="N94" s="66"/>
      <c r="O94" s="66"/>
      <c r="P94" s="66"/>
      <c r="Q94" s="66"/>
      <c r="R94" s="66"/>
      <c r="S94" s="66"/>
      <c r="T94" s="66"/>
      <c r="U94" s="66"/>
      <c r="V94" s="66"/>
      <c r="W94" s="66"/>
      <c r="X94" s="66"/>
      <c r="Y94" s="66"/>
      <c r="Z94" s="66"/>
      <c r="AA94" s="66"/>
    </row>
    <row r="95">
      <c r="C95" s="66"/>
      <c r="D95" s="66"/>
      <c r="E95" s="66"/>
      <c r="F95" s="66"/>
      <c r="G95" s="66"/>
      <c r="H95" s="66"/>
      <c r="I95" s="66"/>
      <c r="J95" s="66"/>
      <c r="K95" s="66"/>
      <c r="L95" s="66"/>
      <c r="M95" s="66"/>
      <c r="N95" s="66"/>
      <c r="O95" s="66"/>
      <c r="P95" s="66"/>
      <c r="Q95" s="66"/>
      <c r="R95" s="66"/>
      <c r="S95" s="66"/>
      <c r="T95" s="66"/>
      <c r="U95" s="66"/>
      <c r="V95" s="66"/>
      <c r="W95" s="66"/>
      <c r="X95" s="66"/>
      <c r="Y95" s="66"/>
      <c r="Z95" s="66"/>
      <c r="AA95" s="66"/>
    </row>
    <row r="96">
      <c r="C96" s="66"/>
      <c r="D96" s="66"/>
      <c r="E96" s="66"/>
      <c r="F96" s="66"/>
      <c r="G96" s="66"/>
      <c r="H96" s="66"/>
      <c r="I96" s="66"/>
      <c r="J96" s="66"/>
      <c r="K96" s="66"/>
      <c r="L96" s="66"/>
      <c r="M96" s="66"/>
      <c r="N96" s="66"/>
      <c r="O96" s="66"/>
      <c r="P96" s="66"/>
      <c r="Q96" s="66"/>
      <c r="R96" s="66"/>
      <c r="S96" s="66"/>
      <c r="T96" s="66"/>
      <c r="U96" s="66"/>
      <c r="V96" s="66"/>
      <c r="W96" s="66"/>
      <c r="X96" s="66"/>
      <c r="Y96" s="66"/>
      <c r="Z96" s="66"/>
      <c r="AA96" s="66"/>
    </row>
    <row r="97">
      <c r="C97" s="66"/>
      <c r="D97" s="66"/>
      <c r="E97" s="66"/>
      <c r="F97" s="66"/>
      <c r="G97" s="66"/>
      <c r="H97" s="66"/>
      <c r="I97" s="66"/>
      <c r="J97" s="66"/>
      <c r="K97" s="66"/>
      <c r="L97" s="66"/>
      <c r="M97" s="66"/>
      <c r="N97" s="66"/>
      <c r="O97" s="66"/>
      <c r="P97" s="66"/>
      <c r="Q97" s="66"/>
      <c r="R97" s="66"/>
      <c r="S97" s="66"/>
      <c r="T97" s="66"/>
      <c r="U97" s="66"/>
      <c r="V97" s="66"/>
      <c r="W97" s="66"/>
      <c r="X97" s="66"/>
      <c r="Y97" s="66"/>
      <c r="Z97" s="66"/>
      <c r="AA97" s="66"/>
    </row>
    <row r="98">
      <c r="C98" s="66"/>
      <c r="D98" s="66"/>
      <c r="E98" s="66"/>
      <c r="F98" s="66"/>
      <c r="G98" s="66"/>
      <c r="H98" s="66"/>
      <c r="I98" s="66"/>
      <c r="J98" s="66"/>
      <c r="K98" s="66"/>
      <c r="L98" s="66"/>
      <c r="M98" s="66"/>
      <c r="N98" s="66"/>
      <c r="O98" s="66"/>
      <c r="P98" s="66"/>
      <c r="Q98" s="66"/>
      <c r="R98" s="66"/>
      <c r="S98" s="66"/>
      <c r="T98" s="66"/>
      <c r="U98" s="66"/>
      <c r="V98" s="66"/>
      <c r="W98" s="66"/>
      <c r="X98" s="66"/>
      <c r="Y98" s="66"/>
      <c r="Z98" s="66"/>
      <c r="AA98" s="66"/>
    </row>
    <row r="99">
      <c r="C99" s="66"/>
      <c r="D99" s="66"/>
      <c r="E99" s="66"/>
      <c r="F99" s="66"/>
      <c r="G99" s="66"/>
      <c r="H99" s="66"/>
      <c r="I99" s="66"/>
      <c r="J99" s="66"/>
      <c r="K99" s="66"/>
      <c r="L99" s="66"/>
      <c r="M99" s="66"/>
      <c r="N99" s="66"/>
      <c r="O99" s="66"/>
      <c r="P99" s="66"/>
      <c r="Q99" s="66"/>
      <c r="R99" s="66"/>
      <c r="S99" s="66"/>
      <c r="T99" s="66"/>
      <c r="U99" s="66"/>
      <c r="V99" s="66"/>
      <c r="W99" s="66"/>
      <c r="X99" s="66"/>
      <c r="Y99" s="66"/>
      <c r="Z99" s="66"/>
      <c r="AA99" s="66"/>
    </row>
    <row r="100">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row>
    <row r="101">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row>
    <row r="102">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row>
    <row r="103">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row>
    <row r="104">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row>
    <row r="105">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row>
    <row r="10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row>
    <row r="107">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row>
    <row r="108">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row>
    <row r="109">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row>
    <row r="110">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row>
    <row r="111">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row>
    <row r="112">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row>
    <row r="113">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row>
    <row r="114">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row>
    <row r="115">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row>
    <row r="11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row>
    <row r="117">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row>
    <row r="118">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row>
    <row r="119">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row>
    <row r="120">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row>
    <row r="121">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row>
    <row r="122">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row>
    <row r="123">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row>
    <row r="124">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row>
    <row r="125">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row>
    <row r="12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row>
    <row r="127">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row>
    <row r="128">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row>
    <row r="129">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row>
    <row r="130">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row>
    <row r="131">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row>
    <row r="132">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row>
    <row r="133">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row>
    <row r="134">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row>
    <row r="135">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row>
    <row r="13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row>
    <row r="137">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row>
    <row r="138">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row>
    <row r="139">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row>
    <row r="140">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row>
    <row r="141">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row>
    <row r="142">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row>
    <row r="143">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row>
    <row r="144">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row>
    <row r="145">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row>
    <row r="14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row>
    <row r="147">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row>
    <row r="148">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row>
    <row r="149">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row>
    <row r="150">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row>
    <row r="151">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row>
    <row r="152">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row>
    <row r="153">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row>
    <row r="154">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row>
    <row r="155">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row>
    <row r="15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row>
    <row r="157">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row>
    <row r="158">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row>
    <row r="159">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row>
    <row r="160">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row>
    <row r="161">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row>
    <row r="162">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row>
    <row r="163">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row>
    <row r="164">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row>
    <row r="165">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row>
    <row r="1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row>
    <row r="167">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row>
    <row r="168">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row>
    <row r="169">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row>
    <row r="170">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row>
    <row r="171">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row>
    <row r="172">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row>
    <row r="173">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row>
    <row r="174">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row>
    <row r="175">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row>
    <row r="17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row>
    <row r="177">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row>
    <row r="178">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row>
    <row r="179">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row>
    <row r="180">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row>
    <row r="181">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row>
    <row r="182">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row>
    <row r="183">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row>
    <row r="184">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row>
    <row r="185">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row>
    <row r="18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row>
    <row r="187">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row>
    <row r="188">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row>
    <row r="189">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row>
    <row r="190">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row>
    <row r="191">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row>
    <row r="192">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row>
    <row r="193">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row>
    <row r="194">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row>
    <row r="195">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row>
    <row r="19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row>
    <row r="197">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row>
    <row r="198">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row>
    <row r="199">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row>
    <row r="200">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row>
    <row r="201">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row>
    <row r="202">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row>
    <row r="203">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row>
    <row r="204">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row>
    <row r="205">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row>
    <row r="20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row>
    <row r="207">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row>
    <row r="208">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row>
    <row r="209">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row>
    <row r="210">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row>
    <row r="211">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row>
    <row r="212">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row>
    <row r="213">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row>
    <row r="214">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row>
    <row r="215">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row>
    <row r="21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row>
    <row r="217">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row>
    <row r="218">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row>
    <row r="219">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row>
    <row r="220">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row>
    <row r="221">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row>
    <row r="222">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row>
    <row r="223">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row>
    <row r="224">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row>
    <row r="225">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row>
    <row r="22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row>
    <row r="227">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row>
    <row r="228">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row>
    <row r="229">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row>
    <row r="230">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row>
    <row r="231">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row>
    <row r="232">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row>
    <row r="233">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row>
    <row r="234">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row>
    <row r="235">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row>
    <row r="23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row>
    <row r="237">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row>
    <row r="238">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row>
    <row r="239">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row>
    <row r="240">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row>
    <row r="241">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row>
    <row r="242">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row>
    <row r="243">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row>
    <row r="244">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row>
    <row r="245">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row>
    <row r="24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row>
    <row r="247">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row>
    <row r="248">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row>
    <row r="249">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row>
    <row r="250">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row>
    <row r="251">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row>
    <row r="252">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row>
    <row r="253">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row>
    <row r="254">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row>
    <row r="255">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row>
    <row r="25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row>
    <row r="257">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row>
    <row r="258">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row>
    <row r="259">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row>
    <row r="260">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row>
    <row r="261">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row>
    <row r="262">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row>
    <row r="263">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row>
    <row r="264">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row>
    <row r="265">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row>
    <row r="2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row>
    <row r="267">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row>
    <row r="268">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row>
    <row r="269">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row>
    <row r="271">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row>
    <row r="272">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row>
    <row r="273">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row>
    <row r="274">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row>
    <row r="275">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row>
    <row r="27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row>
    <row r="277">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row>
    <row r="278">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row>
    <row r="279">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row>
    <row r="280">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row>
    <row r="281">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row>
    <row r="282">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row>
    <row r="283">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row>
    <row r="284">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row>
    <row r="285">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row>
    <row r="28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row>
    <row r="287">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row>
    <row r="288">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row>
    <row r="289">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row>
    <row r="290">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row>
    <row r="291">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row>
    <row r="292">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row>
    <row r="293">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row>
    <row r="294">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row>
    <row r="295">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row>
    <row r="29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row>
    <row r="297">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row>
    <row r="299">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row>
    <row r="300">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row>
    <row r="301">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row>
    <row r="302">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row>
    <row r="303">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row>
    <row r="304">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row>
    <row r="305">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row>
    <row r="30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row>
    <row r="307">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row>
    <row r="308">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row>
    <row r="309">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row>
    <row r="310">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row>
    <row r="311">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row>
    <row r="312">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row>
    <row r="313">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row>
    <row r="314">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row>
    <row r="315">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row>
    <row r="31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row>
    <row r="317">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row>
    <row r="318">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row>
    <row r="319">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row>
    <row r="320">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row>
    <row r="321">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row>
    <row r="322">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row>
    <row r="323">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row>
    <row r="324">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row>
    <row r="325">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row>
    <row r="32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row>
    <row r="327">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row>
    <row r="328">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row>
    <row r="329">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row>
    <row r="330">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row>
    <row r="331">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row>
    <row r="332">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row>
    <row r="333">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row>
    <row r="334">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row>
    <row r="335">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row>
    <row r="33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row>
    <row r="337">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row>
    <row r="338">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row>
    <row r="339">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row>
    <row r="340">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row>
    <row r="341">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row>
    <row r="342">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row>
    <row r="343">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row>
    <row r="344">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row>
    <row r="345">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row>
    <row r="347">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row>
    <row r="348">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row>
    <row r="349">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row>
    <row r="350">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row>
    <row r="351">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row>
    <row r="352">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row>
    <row r="353">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row>
    <row r="354">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row>
    <row r="355">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row>
    <row r="35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row>
    <row r="357">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row>
    <row r="358">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row>
    <row r="359">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row>
    <row r="360">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row>
    <row r="361">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row>
    <row r="362">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row>
    <row r="363">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row>
    <row r="364">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row>
    <row r="365">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row>
    <row r="3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row>
    <row r="367">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row>
    <row r="368">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row>
    <row r="369">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row>
    <row r="370">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row>
    <row r="371">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row>
    <row r="372">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row>
    <row r="373">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row>
    <row r="374">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row>
    <row r="375">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row>
    <row r="37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row>
    <row r="377">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row>
    <row r="378">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row>
    <row r="379">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row>
    <row r="380">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row>
    <row r="381">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row>
    <row r="382">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row>
    <row r="383">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row>
    <row r="384">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row>
    <row r="385">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row>
    <row r="38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row>
    <row r="387">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row>
    <row r="388">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row>
    <row r="389">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row>
    <row r="390">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row>
    <row r="391">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row>
    <row r="392">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row>
    <row r="393">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row>
    <row r="394">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row>
    <row r="395">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row>
    <row r="39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row>
    <row r="397">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row>
    <row r="398">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row>
    <row r="399">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row>
    <row r="400">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row>
    <row r="401">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row>
    <row r="402">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row>
    <row r="403">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row>
    <row r="404">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row>
    <row r="405">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row>
    <row r="40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row>
    <row r="407">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row>
    <row r="408">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row>
    <row r="409">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row>
    <row r="410">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row>
    <row r="411">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row>
    <row r="412">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row>
    <row r="413">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row>
    <row r="414">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row>
    <row r="415">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row>
    <row r="41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row>
    <row r="417">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row>
    <row r="418">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row>
    <row r="419">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row>
    <row r="420">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row>
    <row r="421">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row>
    <row r="422">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row>
    <row r="423">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row>
    <row r="424">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row>
    <row r="425">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row>
    <row r="42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row>
    <row r="427">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row>
    <row r="428">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row>
    <row r="429">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row>
    <row r="430">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row>
    <row r="431">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row>
    <row r="432">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row>
    <row r="433">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row>
    <row r="434">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row>
    <row r="435">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row>
    <row r="43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row>
    <row r="437">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row>
    <row r="438">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row>
    <row r="439">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row>
    <row r="440">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row>
    <row r="441">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row>
    <row r="442">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row>
    <row r="443">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row>
    <row r="444">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row>
    <row r="445">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row>
    <row r="44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row>
    <row r="447">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row>
    <row r="448">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row>
    <row r="449">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row>
    <row r="450">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row>
    <row r="451">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row>
    <row r="452">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row>
    <row r="453">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row>
    <row r="454">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row>
    <row r="455">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row>
    <row r="45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row>
    <row r="457">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row>
    <row r="458">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row>
    <row r="459">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row>
    <row r="460">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row>
    <row r="461">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row>
    <row r="462">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row>
    <row r="463">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row>
    <row r="464">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row>
    <row r="465">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row>
    <row r="4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row>
    <row r="467">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row>
    <row r="468">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row>
    <row r="469">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row>
    <row r="470">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row>
    <row r="471">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row>
    <row r="472">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row>
    <row r="473">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row>
    <row r="474">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row>
    <row r="475">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row>
    <row r="47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row>
    <row r="477">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row>
    <row r="478">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row>
    <row r="479">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row>
    <row r="480">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row>
    <row r="481">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row>
    <row r="482">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row>
    <row r="483">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row>
    <row r="484">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row>
    <row r="485">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row>
    <row r="48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row>
    <row r="487">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row>
    <row r="488">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row>
    <row r="489">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row>
    <row r="490">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row>
    <row r="491">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row>
    <row r="492">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row>
    <row r="493">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row>
    <row r="494">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row>
    <row r="495">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row>
    <row r="49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row>
    <row r="497">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row>
    <row r="498">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row>
    <row r="499">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row>
    <row r="500">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row>
    <row r="501">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row>
    <row r="502">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row>
    <row r="503">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row>
    <row r="504">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row>
    <row r="505">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row>
    <row r="50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row>
    <row r="507">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row>
    <row r="508">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row>
    <row r="509">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row>
    <row r="510">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row>
    <row r="511">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row>
    <row r="512">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row>
    <row r="513">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row>
    <row r="514">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row>
    <row r="515">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row>
    <row r="51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row>
    <row r="517">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row>
    <row r="518">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row>
    <row r="519">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row>
    <row r="520">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row>
    <row r="521">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row>
    <row r="522">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row>
    <row r="523">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row>
    <row r="524">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row>
    <row r="525">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row>
    <row r="52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row>
    <row r="527">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row>
    <row r="528">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row>
    <row r="529">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row>
    <row r="530">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row>
    <row r="531">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row>
    <row r="532">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row>
    <row r="533">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row>
    <row r="534">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row>
    <row r="535">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row>
    <row r="53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row>
    <row r="537">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row>
    <row r="538">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row>
    <row r="539">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row>
    <row r="540">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row>
    <row r="541">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row>
    <row r="542">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row>
    <row r="543">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row>
    <row r="544">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row>
    <row r="545">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row>
    <row r="54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row>
    <row r="547">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row>
    <row r="548">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row>
    <row r="549">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row>
    <row r="550">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row>
    <row r="551">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row>
    <row r="552">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row>
    <row r="553">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row>
    <row r="554">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row>
    <row r="555">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row>
    <row r="55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row>
    <row r="557">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row>
    <row r="558">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row>
    <row r="559">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row>
    <row r="560">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row>
    <row r="561">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row>
    <row r="562">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row>
    <row r="563">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row>
    <row r="564">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row>
    <row r="565">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row>
    <row r="5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row>
    <row r="567">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row>
    <row r="568">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row>
    <row r="569">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row>
    <row r="570">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row>
    <row r="571">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row>
    <row r="572">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row>
    <row r="573">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row>
    <row r="574">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row>
    <row r="575">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row>
    <row r="57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row>
    <row r="577">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row>
    <row r="578">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row>
    <row r="579">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row>
    <row r="580">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row>
    <row r="581">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row>
    <row r="582">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row>
    <row r="583">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row>
    <row r="584">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row>
    <row r="585">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row>
    <row r="58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row>
    <row r="587">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row>
    <row r="588">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row>
    <row r="589">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row>
    <row r="590">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row>
    <row r="591">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row>
    <row r="592">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row>
    <row r="593">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row>
    <row r="594">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row>
    <row r="595">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row>
    <row r="59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row>
    <row r="597">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row>
    <row r="598">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row>
    <row r="599">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row>
    <row r="600">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row>
    <row r="601">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row>
    <row r="602">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row>
    <row r="603">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row>
    <row r="604">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row>
    <row r="605">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row>
    <row r="60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row>
    <row r="607">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row>
    <row r="608">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row>
    <row r="609">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row>
    <row r="610">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row>
    <row r="611">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row>
    <row r="612">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row>
    <row r="613">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row>
    <row r="614">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row>
    <row r="615">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row>
    <row r="61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row>
    <row r="617">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row>
    <row r="618">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row>
    <row r="619">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row>
    <row r="620">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row>
    <row r="621">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row>
    <row r="622">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row>
    <row r="623">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row>
    <row r="624">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row>
    <row r="625">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row>
    <row r="62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row>
    <row r="627">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row>
    <row r="628">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row>
    <row r="629">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row>
    <row r="630">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row>
    <row r="631">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row>
    <row r="632">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row>
    <row r="633">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row>
    <row r="634">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row>
    <row r="635">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row>
    <row r="63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row>
    <row r="637">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row>
    <row r="638">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row>
    <row r="639">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row>
    <row r="640">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row>
    <row r="641">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row>
    <row r="642">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row>
    <row r="643">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row>
    <row r="644">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row>
    <row r="645">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row>
    <row r="64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row>
    <row r="647">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row>
    <row r="648">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row>
    <row r="649">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row>
    <row r="650">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row>
    <row r="651">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row>
    <row r="652">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row>
    <row r="653">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row>
    <row r="654">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row>
    <row r="655">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row>
    <row r="65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row>
    <row r="657">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row>
    <row r="658">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row>
    <row r="659">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row>
    <row r="660">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row>
    <row r="661">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row>
    <row r="662">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row>
    <row r="663">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row>
    <row r="664">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row>
    <row r="665">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row>
    <row r="6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row>
    <row r="667">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row>
    <row r="668">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row>
    <row r="669">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row>
    <row r="670">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row>
    <row r="671">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row>
    <row r="672">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row>
    <row r="673">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row>
    <row r="674">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row>
    <row r="675">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row>
    <row r="67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row>
    <row r="677">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row>
    <row r="678">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row>
    <row r="679">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row>
    <row r="680">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row>
    <row r="681">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row>
    <row r="682">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row>
    <row r="683">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row>
    <row r="684">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row>
    <row r="685">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row>
    <row r="68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row>
    <row r="687">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row>
    <row r="688">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row>
    <row r="689">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row>
    <row r="690">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row>
    <row r="691">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row>
    <row r="692">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row>
    <row r="693">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row>
    <row r="694">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row>
    <row r="695">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row>
    <row r="69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row>
    <row r="697">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row>
    <row r="698">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row>
    <row r="699">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row>
    <row r="700">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row>
    <row r="701">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row>
    <row r="702">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row>
    <row r="703">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row>
    <row r="704">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row>
    <row r="705">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row>
    <row r="70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row>
    <row r="707">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row>
    <row r="708">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row>
    <row r="709">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row>
    <row r="710">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row>
    <row r="711">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row>
    <row r="712">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row>
    <row r="713">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row>
    <row r="714">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row>
    <row r="715">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row>
    <row r="71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row>
    <row r="717">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row>
    <row r="718">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row>
    <row r="719">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row>
    <row r="720">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row>
    <row r="721">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row>
    <row r="722">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row>
    <row r="723">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row>
    <row r="724">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row>
    <row r="725">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row>
    <row r="72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row>
    <row r="727">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row>
    <row r="728">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row>
    <row r="729">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row>
    <row r="730">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row>
    <row r="731">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row>
    <row r="732">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row>
    <row r="733">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row>
    <row r="734">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row>
    <row r="735">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row>
    <row r="73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row>
    <row r="737">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row>
    <row r="738">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row>
    <row r="739">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row>
    <row r="740">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row>
    <row r="741">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row>
    <row r="742">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row>
    <row r="743">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row>
    <row r="744">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row>
    <row r="745">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row>
    <row r="74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row>
    <row r="747">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row>
    <row r="748">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row>
    <row r="749">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row>
    <row r="750">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row>
    <row r="751">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row>
    <row r="752">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row>
    <row r="753">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row>
    <row r="754">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row>
    <row r="755">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row>
    <row r="75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row>
    <row r="757">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row>
    <row r="758">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row>
    <row r="759">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row>
    <row r="760">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row>
    <row r="761">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row>
    <row r="762">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row>
    <row r="763">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row>
    <row r="764">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row>
    <row r="765">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row>
    <row r="7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row>
    <row r="767">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row>
    <row r="768">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row>
    <row r="769">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row>
    <row r="770">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row>
    <row r="771">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row>
    <row r="772">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row>
    <row r="773">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row>
    <row r="774">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row>
    <row r="775">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row>
    <row r="77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row>
    <row r="777">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row>
    <row r="778">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row>
    <row r="779">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row>
    <row r="780">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row>
    <row r="781">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row>
    <row r="782">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row>
    <row r="783">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row>
    <row r="784">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row>
    <row r="785">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row>
    <row r="78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row>
    <row r="787">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row>
    <row r="788">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row>
    <row r="789">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row>
    <row r="790">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row>
    <row r="791">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row>
    <row r="792">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row>
    <row r="793">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row>
    <row r="794">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row>
    <row r="795">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row>
    <row r="79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row>
    <row r="797">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row>
    <row r="798">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row>
    <row r="799">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row>
    <row r="800">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row>
    <row r="801">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row>
    <row r="802">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row>
    <row r="803">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row>
    <row r="804">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row>
    <row r="805">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row>
    <row r="80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row>
    <row r="807">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row>
    <row r="808">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row>
    <row r="809">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row>
    <row r="810">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row>
    <row r="811">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row>
    <row r="812">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row>
    <row r="813">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row>
    <row r="814">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row>
    <row r="815">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row>
    <row r="81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row>
    <row r="817">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row>
    <row r="818">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row>
    <row r="819">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row>
    <row r="820">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row>
    <row r="821">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row>
    <row r="822">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row>
    <row r="823">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row>
    <row r="824">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row>
    <row r="825">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row>
    <row r="82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row>
    <row r="827">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row>
    <row r="828">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row>
    <row r="829">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row>
    <row r="830">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row>
    <row r="831">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row>
    <row r="832">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row>
    <row r="833">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row>
    <row r="834">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row>
    <row r="835">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row>
    <row r="83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row>
    <row r="837">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row>
    <row r="838">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row>
    <row r="839">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row>
    <row r="840">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row>
    <row r="841">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row>
    <row r="842">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row>
    <row r="843">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row>
    <row r="844">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row>
    <row r="845">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row>
    <row r="84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row>
    <row r="847">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row>
    <row r="848">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row>
    <row r="849">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row>
    <row r="850">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row>
    <row r="851">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row>
    <row r="852">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row>
    <row r="853">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row>
    <row r="854">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row>
    <row r="855">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row>
    <row r="85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row>
    <row r="857">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row>
    <row r="858">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row>
    <row r="859">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row>
    <row r="860">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row>
    <row r="861">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row>
    <row r="862">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row>
    <row r="863">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row>
    <row r="864">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row>
    <row r="865">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row>
    <row r="8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row>
    <row r="867">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row>
    <row r="868">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row>
    <row r="869">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row>
    <row r="870">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row>
    <row r="871">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row>
    <row r="872">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row>
    <row r="873">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row>
    <row r="874">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row>
    <row r="875">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row>
    <row r="87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row>
    <row r="877">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row>
    <row r="878">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row>
    <row r="879">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row>
    <row r="880">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row>
    <row r="881">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row>
    <row r="882">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row>
    <row r="883">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row>
    <row r="884">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row>
    <row r="885">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row>
    <row r="88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row>
    <row r="887">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row>
    <row r="888">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row>
    <row r="889">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row>
    <row r="890">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row>
    <row r="891">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row>
    <row r="892">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row>
    <row r="893">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row>
    <row r="894">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row>
    <row r="895">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row>
    <row r="89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row>
    <row r="897">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row>
    <row r="898">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row>
    <row r="899">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row>
    <row r="900">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row>
    <row r="901">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row>
    <row r="902">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row>
    <row r="903">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row>
    <row r="904">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row>
    <row r="905">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row>
    <row r="90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row>
    <row r="907">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row>
    <row r="908">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row>
    <row r="909">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row>
    <row r="910">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row>
    <row r="911">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row>
    <row r="912">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row>
    <row r="913">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row>
    <row r="914">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row>
    <row r="915">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row>
    <row r="91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row>
    <row r="917">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row>
    <row r="918">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row>
    <row r="919">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row>
    <row r="920">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row>
    <row r="921">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row>
    <row r="922">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row>
    <row r="923">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row>
    <row r="924">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row>
    <row r="925">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row>
    <row r="92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row>
    <row r="927">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row>
    <row r="928">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row>
    <row r="929">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row>
    <row r="930">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row>
    <row r="931">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row>
    <row r="932">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row>
    <row r="933">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row>
    <row r="934">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row>
    <row r="935">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row>
    <row r="93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row>
    <row r="937">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row>
    <row r="938">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row>
    <row r="939">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row>
    <row r="940">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row>
    <row r="941">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row>
    <row r="942">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row>
    <row r="943">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row>
    <row r="944">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row>
    <row r="945">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row>
    <row r="94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row>
    <row r="947">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row>
    <row r="948">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row>
    <row r="949">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row>
    <row r="950">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row>
    <row r="951">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row>
    <row r="952">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row>
    <row r="953">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row>
    <row r="954">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row>
    <row r="955">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row>
    <row r="95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row>
    <row r="957">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row>
    <row r="958">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row>
    <row r="959">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row>
    <row r="960">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row>
    <row r="961">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row>
    <row r="962">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row>
    <row r="963">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row>
    <row r="964">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row>
    <row r="965">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row>
    <row r="9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row>
    <row r="967">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row>
    <row r="968">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row>
    <row r="969">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row>
    <row r="970">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row>
    <row r="971">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row>
    <row r="972">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row>
    <row r="973">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row>
    <row r="974">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row>
    <row r="975">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row>
    <row r="97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row>
    <row r="977">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row>
    <row r="978">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row>
    <row r="979">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row>
    <row r="980">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row>
    <row r="981">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row>
    <row r="982">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row>
    <row r="983">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row>
    <row r="984">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row>
    <row r="985">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row>
    <row r="98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row>
    <row r="987">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row>
    <row r="988">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row>
    <row r="989">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row>
    <row r="990">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row>
    <row r="991">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row>
    <row r="992">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row>
    <row r="993">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row>
    <row r="994">
      <c r="A994" s="17"/>
      <c r="C994" s="66"/>
      <c r="D994" s="66"/>
      <c r="E994" s="66"/>
      <c r="F994" s="66"/>
      <c r="G994" s="66"/>
      <c r="H994" s="66"/>
      <c r="I994" s="66"/>
      <c r="J994" s="66"/>
      <c r="K994" s="66"/>
      <c r="L994" s="66"/>
      <c r="P994" s="66"/>
      <c r="Q994" s="66"/>
      <c r="R994" s="68"/>
      <c r="S994" s="66"/>
      <c r="T994" s="66"/>
      <c r="U994" s="66"/>
      <c r="V994" s="66"/>
      <c r="W994" s="66"/>
      <c r="X994" s="66"/>
      <c r="Y994" s="66"/>
      <c r="Z994" s="66"/>
      <c r="AA994" s="66"/>
      <c r="AB994" s="17"/>
    </row>
  </sheetData>
  <mergeCells count="34">
    <mergeCell ref="L38:L43"/>
    <mergeCell ref="L45:L50"/>
    <mergeCell ref="B45:B50"/>
    <mergeCell ref="B52:B57"/>
    <mergeCell ref="T45:T50"/>
    <mergeCell ref="T52:T57"/>
    <mergeCell ref="L52:L57"/>
    <mergeCell ref="L59:L64"/>
    <mergeCell ref="B59:B64"/>
    <mergeCell ref="B66:B71"/>
    <mergeCell ref="T59:T64"/>
    <mergeCell ref="T66:T71"/>
    <mergeCell ref="A1:A993"/>
    <mergeCell ref="B1:AA1"/>
    <mergeCell ref="AB1:AB993"/>
    <mergeCell ref="B3:B8"/>
    <mergeCell ref="L3:L8"/>
    <mergeCell ref="B10:B15"/>
    <mergeCell ref="L66:L71"/>
    <mergeCell ref="B81:B86"/>
    <mergeCell ref="T3:T8"/>
    <mergeCell ref="T10:T15"/>
    <mergeCell ref="L10:L15"/>
    <mergeCell ref="L17:L22"/>
    <mergeCell ref="B17:B22"/>
    <mergeCell ref="B24:B29"/>
    <mergeCell ref="T17:T22"/>
    <mergeCell ref="T24:T29"/>
    <mergeCell ref="L24:L29"/>
    <mergeCell ref="L31:L36"/>
    <mergeCell ref="B31:B36"/>
    <mergeCell ref="B38:B43"/>
    <mergeCell ref="T31:T36"/>
    <mergeCell ref="T38:T43"/>
  </mergeCells>
  <dataValidations>
    <dataValidation type="list" allowBlank="1" showErrorMessage="1" sqref="B3 L3 T3 B10 L10 T10 B17 L17 T17 B24 L24 T24 B31 L31 T31 B38 L38 T38 B45 L45 T45 B52 L52 T52 B59 L59 T59 B66 L66 T66 B81">
      <formula1>'暱稱'!$A$6:$A$101</formula1>
    </dataValidation>
    <dataValidation type="list" allowBlank="1" showErrorMessage="1" sqref="D8 D21">
      <formula1>"狂戰士,毀滅者,督軍,聖騎士,屠殺者,女巫,卡牌魔術師,吟遊詩人,召喚師,鬥士,格鬥大師,拳霸,氣功師,槍術士,鷹眼,槍炮大師,惡魔獵手,神槍手,偵察士,刀鋒,半魔人,噬魂者,影殺者,畫家,氣象術士,幻獸師"</formula1>
    </dataValidation>
    <dataValidation type="list" allowBlank="1" showErrorMessage="1" sqref="D3:D7 N3:N8 V3:V8 D10:D11 D13:D15 N10:N15 V10:V15 D17:D20 D22 N17:N22 V17:V22 D24:D29 N24:N29 V24:V29 D31:D36 N31:N36 V31:V36 D38:D43 N38:N43 V38:V43 D45:D50 N45:N50 V45:V50 D52:D57 N52:N57 V52:V57 D59:D64 N59:N64 V59:V64 D66:D71 N66:N71 V66:V71">
      <formula1>"狂戰士,毀滅者,督軍,聖騎士,屠殺者,女巫,卡牌魔術師,吟遊詩人,召喚師,鬥士,格鬥大師,拳霸,氣功師,槍術士,鷹眼,槍炮大師,惡魔獵手,神槍手,偵察士,刀鋒,半魔人,噬魂者,影殺者,畫家,氣象術士"</formula1>
    </dataValidation>
    <dataValidation type="list" allowBlank="1" showErrorMessage="1" sqref="D12">
      <formula1>"狂戰士,毀滅者,督軍,聖騎士,屠殺者,女巫,卡牌魔術師,吟遊詩人,召喚師,鬥士,格鬥大師,拳霸,氣功師,槍術士,鷹眼,槍炮大師,惡魔獵手,神槍手,偵察士,刀鋒,半魔人,噬魂者,影殺者,畫家,氣象術士,拳煞"</formula1>
    </dataValidation>
  </dataValidations>
  <hyperlinks>
    <hyperlink r:id="rId1" ref="C17"/>
    <hyperlink r:id="rId2" ref="C18"/>
    <hyperlink r:id="rId3" ref="C19"/>
    <hyperlink r:id="rId4" ref="C81"/>
    <hyperlink r:id="rId5" ref="C82"/>
    <hyperlink r:id="rId6" ref="C83"/>
    <hyperlink r:id="rId7" ref="C84"/>
    <hyperlink r:id="rId8" ref="C85"/>
    <hyperlink r:id="rId9" ref="C86"/>
    <hyperlink r:id="rId10" ref="C87"/>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8.0" topLeftCell="I1" activePane="topRight" state="frozen"/>
      <selection activeCell="J2" sqref="J2" pane="topRight"/>
    </sheetView>
  </sheetViews>
  <sheetFormatPr customHeight="1" defaultColWidth="12.63" defaultRowHeight="15.75"/>
  <cols>
    <col customWidth="1" min="1" max="1" width="17.75"/>
    <col customWidth="1" min="10" max="10" width="14.25"/>
    <col customWidth="1" min="11" max="11" width="6.5"/>
    <col customWidth="1" min="12" max="12" width="15.88"/>
    <col customWidth="1" min="13" max="13" width="5.25"/>
    <col customWidth="1" min="14" max="14" width="14.63"/>
    <col customWidth="1" min="15" max="15" width="5.5"/>
    <col customWidth="1" min="16" max="16" width="15.25"/>
    <col customWidth="1" min="17" max="17" width="5.0"/>
    <col customWidth="1" min="18" max="18" width="14.63"/>
    <col customWidth="1" min="19" max="19" width="4.88"/>
    <col customWidth="1" min="20" max="20" width="15.25"/>
    <col customWidth="1" min="21" max="21" width="5.13"/>
    <col customWidth="1" min="22" max="22" width="16.63"/>
    <col customWidth="1" min="23" max="23" width="4.88"/>
    <col customWidth="1" min="24" max="24" width="16.0"/>
    <col customWidth="1" min="25" max="25" width="14.63"/>
  </cols>
  <sheetData>
    <row r="1">
      <c r="A1" s="144" t="s">
        <v>329</v>
      </c>
      <c r="B1" s="145"/>
      <c r="C1" s="145"/>
      <c r="D1" s="145"/>
      <c r="E1" s="145"/>
      <c r="F1" s="146"/>
      <c r="G1" s="147" t="s">
        <v>247</v>
      </c>
      <c r="H1" s="148"/>
      <c r="I1" s="149" t="s">
        <v>330</v>
      </c>
    </row>
    <row r="2">
      <c r="A2" s="150" t="s">
        <v>331</v>
      </c>
      <c r="B2" s="151" t="s">
        <v>332</v>
      </c>
      <c r="C2" s="152" t="s">
        <v>333</v>
      </c>
      <c r="D2" s="152" t="s">
        <v>334</v>
      </c>
      <c r="E2" s="153" t="s">
        <v>335</v>
      </c>
      <c r="F2" s="154" t="s">
        <v>336</v>
      </c>
      <c r="G2" s="155" t="s">
        <v>337</v>
      </c>
      <c r="H2" s="156" t="s">
        <v>338</v>
      </c>
    </row>
    <row r="3">
      <c r="A3" s="150" t="s">
        <v>339</v>
      </c>
      <c r="B3" s="157">
        <v>-100.0</v>
      </c>
      <c r="C3" s="158">
        <v>-200.0</v>
      </c>
      <c r="D3" s="159"/>
      <c r="E3" s="160"/>
      <c r="F3" s="161">
        <v>-300.0</v>
      </c>
      <c r="G3" s="162">
        <v>0.0</v>
      </c>
      <c r="H3" s="163">
        <v>1500.0</v>
      </c>
      <c r="I3" s="164" t="s">
        <v>340</v>
      </c>
      <c r="J3" s="165"/>
      <c r="K3" s="166"/>
      <c r="L3" s="167"/>
      <c r="M3" s="166"/>
      <c r="N3" s="167"/>
      <c r="O3" s="166"/>
      <c r="P3" s="167"/>
      <c r="Q3" s="166"/>
      <c r="R3" s="167"/>
      <c r="S3" s="166"/>
      <c r="T3" s="167"/>
      <c r="U3" s="168"/>
      <c r="V3" s="169" t="s">
        <v>341</v>
      </c>
      <c r="X3" s="170" t="s">
        <v>342</v>
      </c>
      <c r="Y3" s="146"/>
    </row>
    <row r="4">
      <c r="A4" s="150" t="s">
        <v>343</v>
      </c>
      <c r="B4" s="171">
        <v>-200.0</v>
      </c>
      <c r="C4" s="172">
        <v>-300.0</v>
      </c>
      <c r="D4" s="159"/>
      <c r="E4" s="160"/>
      <c r="F4" s="173">
        <v>-500.0</v>
      </c>
      <c r="G4" s="174">
        <v>0.0</v>
      </c>
      <c r="H4" s="175">
        <v>2100.0</v>
      </c>
      <c r="I4" s="176" t="s">
        <v>53</v>
      </c>
      <c r="J4" s="177" t="s">
        <v>121</v>
      </c>
      <c r="K4" s="178"/>
      <c r="L4" s="179" t="s">
        <v>121</v>
      </c>
      <c r="M4" s="178"/>
      <c r="N4" s="179" t="s">
        <v>121</v>
      </c>
      <c r="O4" s="178"/>
      <c r="P4" s="179" t="s">
        <v>121</v>
      </c>
      <c r="Q4" s="178"/>
      <c r="R4" s="179" t="s">
        <v>121</v>
      </c>
      <c r="S4" s="178"/>
      <c r="T4" s="179" t="s">
        <v>121</v>
      </c>
      <c r="U4" s="180"/>
      <c r="V4" s="181"/>
      <c r="X4" s="150" t="s">
        <v>331</v>
      </c>
      <c r="Y4" s="154" t="s">
        <v>336</v>
      </c>
    </row>
    <row r="5">
      <c r="A5" s="150" t="s">
        <v>344</v>
      </c>
      <c r="B5" s="157">
        <v>-150.0</v>
      </c>
      <c r="C5" s="158">
        <v>-200.0</v>
      </c>
      <c r="D5" s="158">
        <v>-300.0</v>
      </c>
      <c r="E5" s="160"/>
      <c r="F5" s="182">
        <v>-650.0</v>
      </c>
      <c r="G5" s="162">
        <v>530.0</v>
      </c>
      <c r="H5" s="163">
        <v>2170.0</v>
      </c>
      <c r="I5" s="183" t="s">
        <v>216</v>
      </c>
      <c r="J5" s="184">
        <v>1490.0</v>
      </c>
      <c r="K5" s="185"/>
      <c r="L5" s="184">
        <v>1490.0</v>
      </c>
      <c r="M5" s="185"/>
      <c r="N5" s="184">
        <v>1490.0</v>
      </c>
      <c r="O5" s="185"/>
      <c r="P5" s="186"/>
      <c r="Q5" s="185"/>
      <c r="R5" s="186"/>
      <c r="S5" s="185"/>
      <c r="T5" s="186"/>
      <c r="U5" s="187"/>
      <c r="V5" s="188"/>
      <c r="X5" s="189" t="s">
        <v>345</v>
      </c>
      <c r="Y5" s="190">
        <v>120.0</v>
      </c>
    </row>
    <row r="6">
      <c r="A6" s="189" t="s">
        <v>346</v>
      </c>
      <c r="B6" s="191">
        <v>-400.0</v>
      </c>
      <c r="C6" s="192">
        <v>-650.0</v>
      </c>
      <c r="D6" s="159"/>
      <c r="E6" s="193"/>
      <c r="F6" s="194">
        <v>-1050.0</v>
      </c>
      <c r="G6" s="195">
        <v>0.0</v>
      </c>
      <c r="H6" s="196">
        <v>2650.0</v>
      </c>
      <c r="I6" s="197" t="s">
        <v>331</v>
      </c>
      <c r="J6" s="198" t="s">
        <v>344</v>
      </c>
      <c r="K6" s="199"/>
      <c r="L6" s="198" t="s">
        <v>344</v>
      </c>
      <c r="M6" s="199"/>
      <c r="N6" s="198" t="s">
        <v>344</v>
      </c>
      <c r="O6" s="199"/>
      <c r="P6" s="198" t="s">
        <v>344</v>
      </c>
      <c r="Q6" s="199"/>
      <c r="R6" s="198" t="s">
        <v>344</v>
      </c>
      <c r="S6" s="199"/>
      <c r="T6" s="198" t="s">
        <v>344</v>
      </c>
      <c r="U6" s="199"/>
      <c r="V6" s="200"/>
      <c r="X6" s="189" t="s">
        <v>347</v>
      </c>
      <c r="Y6" s="201">
        <v>160.0</v>
      </c>
    </row>
    <row r="7">
      <c r="A7" s="150" t="s">
        <v>348</v>
      </c>
      <c r="B7" s="157">
        <v>-500.0</v>
      </c>
      <c r="C7" s="158">
        <v>-800.0</v>
      </c>
      <c r="D7" s="159"/>
      <c r="E7" s="193"/>
      <c r="F7" s="182">
        <v>-1300.0</v>
      </c>
      <c r="G7" s="195">
        <v>1000.0</v>
      </c>
      <c r="H7" s="196">
        <v>2300.0</v>
      </c>
      <c r="I7" s="202"/>
      <c r="J7" s="203" t="s">
        <v>349</v>
      </c>
      <c r="K7" s="204" t="b">
        <v>0</v>
      </c>
      <c r="L7" s="203" t="s">
        <v>349</v>
      </c>
      <c r="M7" s="204" t="b">
        <v>0</v>
      </c>
      <c r="N7" s="203" t="s">
        <v>349</v>
      </c>
      <c r="O7" s="204" t="b">
        <v>0</v>
      </c>
      <c r="P7" s="203" t="s">
        <v>349</v>
      </c>
      <c r="Q7" s="204" t="b">
        <v>0</v>
      </c>
      <c r="R7" s="203" t="s">
        <v>349</v>
      </c>
      <c r="S7" s="204" t="b">
        <v>1</v>
      </c>
      <c r="T7" s="203" t="s">
        <v>349</v>
      </c>
      <c r="U7" s="204" t="b">
        <v>1</v>
      </c>
      <c r="V7" s="200"/>
      <c r="X7" s="189" t="s">
        <v>350</v>
      </c>
      <c r="Y7" s="205">
        <v>300.0</v>
      </c>
    </row>
    <row r="8">
      <c r="A8" s="189" t="s">
        <v>351</v>
      </c>
      <c r="B8" s="191">
        <v>-400.0</v>
      </c>
      <c r="C8" s="192">
        <v>-650.0</v>
      </c>
      <c r="D8" s="159"/>
      <c r="E8" s="193"/>
      <c r="F8" s="194">
        <v>-1050.0</v>
      </c>
      <c r="G8" s="195">
        <v>0.0</v>
      </c>
      <c r="H8" s="196">
        <v>2650.0</v>
      </c>
      <c r="I8" s="202"/>
      <c r="J8" s="203" t="s">
        <v>352</v>
      </c>
      <c r="K8" s="204" t="b">
        <v>0</v>
      </c>
      <c r="L8" s="203" t="s">
        <v>352</v>
      </c>
      <c r="M8" s="204" t="b">
        <v>0</v>
      </c>
      <c r="N8" s="203" t="s">
        <v>352</v>
      </c>
      <c r="O8" s="204" t="b">
        <v>0</v>
      </c>
      <c r="P8" s="203" t="s">
        <v>352</v>
      </c>
      <c r="Q8" s="204" t="b">
        <v>0</v>
      </c>
      <c r="R8" s="203" t="s">
        <v>352</v>
      </c>
      <c r="S8" s="204" t="b">
        <v>1</v>
      </c>
      <c r="T8" s="203" t="s">
        <v>352</v>
      </c>
      <c r="U8" s="204" t="b">
        <v>1</v>
      </c>
      <c r="V8" s="200"/>
      <c r="X8" s="189" t="s">
        <v>307</v>
      </c>
      <c r="Y8" s="205">
        <v>450.0</v>
      </c>
    </row>
    <row r="9">
      <c r="A9" s="150" t="s">
        <v>353</v>
      </c>
      <c r="B9" s="157">
        <v>-600.0</v>
      </c>
      <c r="C9" s="158">
        <v>-800.0</v>
      </c>
      <c r="D9" s="159"/>
      <c r="E9" s="193"/>
      <c r="F9" s="182">
        <v>-1400.0</v>
      </c>
      <c r="G9" s="162">
        <v>1650.0</v>
      </c>
      <c r="H9" s="163">
        <v>1650.0</v>
      </c>
      <c r="I9" s="202"/>
      <c r="J9" s="203" t="s">
        <v>354</v>
      </c>
      <c r="K9" s="204" t="b">
        <v>0</v>
      </c>
      <c r="L9" s="203" t="s">
        <v>354</v>
      </c>
      <c r="M9" s="204" t="b">
        <v>1</v>
      </c>
      <c r="N9" s="203" t="s">
        <v>354</v>
      </c>
      <c r="O9" s="204" t="b">
        <v>1</v>
      </c>
      <c r="P9" s="203" t="s">
        <v>354</v>
      </c>
      <c r="Q9" s="204" t="b">
        <v>1</v>
      </c>
      <c r="R9" s="203" t="s">
        <v>354</v>
      </c>
      <c r="S9" s="204" t="b">
        <v>1</v>
      </c>
      <c r="T9" s="203" t="s">
        <v>354</v>
      </c>
      <c r="U9" s="204" t="b">
        <v>1</v>
      </c>
      <c r="V9" s="200"/>
      <c r="X9" s="189" t="s">
        <v>355</v>
      </c>
      <c r="Y9" s="205">
        <v>250.0</v>
      </c>
    </row>
    <row r="10">
      <c r="A10" s="150" t="s">
        <v>349</v>
      </c>
      <c r="B10" s="171">
        <v>-900.0</v>
      </c>
      <c r="C10" s="172">
        <v>-1200.0</v>
      </c>
      <c r="D10" s="159"/>
      <c r="E10" s="193"/>
      <c r="F10" s="206">
        <v>-2100.0</v>
      </c>
      <c r="G10" s="174">
        <v>2250.0</v>
      </c>
      <c r="H10" s="175">
        <v>2250.0</v>
      </c>
      <c r="I10" s="202"/>
      <c r="J10" s="207" t="s">
        <v>356</v>
      </c>
      <c r="K10" s="204" t="b">
        <v>1</v>
      </c>
      <c r="L10" s="207" t="s">
        <v>356</v>
      </c>
      <c r="M10" s="204" t="b">
        <v>1</v>
      </c>
      <c r="N10" s="207" t="s">
        <v>356</v>
      </c>
      <c r="O10" s="204" t="b">
        <v>1</v>
      </c>
      <c r="P10" s="207" t="s">
        <v>356</v>
      </c>
      <c r="Q10" s="204" t="b">
        <v>1</v>
      </c>
      <c r="R10" s="207" t="s">
        <v>356</v>
      </c>
      <c r="S10" s="204" t="b">
        <v>0</v>
      </c>
      <c r="T10" s="207" t="s">
        <v>357</v>
      </c>
      <c r="U10" s="204" t="b">
        <v>0</v>
      </c>
      <c r="V10" s="200"/>
      <c r="X10" s="208" t="s">
        <v>308</v>
      </c>
      <c r="Y10" s="209">
        <v>450.0</v>
      </c>
    </row>
    <row r="11">
      <c r="A11" s="150" t="s">
        <v>352</v>
      </c>
      <c r="B11" s="171">
        <v>-900.0</v>
      </c>
      <c r="C11" s="172">
        <v>-1200.0</v>
      </c>
      <c r="D11" s="159"/>
      <c r="E11" s="193"/>
      <c r="F11" s="206">
        <v>-2100.0</v>
      </c>
      <c r="G11" s="174">
        <v>4500.0</v>
      </c>
      <c r="H11" s="210">
        <v>0.0</v>
      </c>
      <c r="I11" s="202"/>
      <c r="J11" s="211" t="s">
        <v>358</v>
      </c>
      <c r="K11" s="204" t="b">
        <v>1</v>
      </c>
      <c r="L11" s="207" t="s">
        <v>359</v>
      </c>
      <c r="M11" s="204" t="b">
        <v>0</v>
      </c>
      <c r="N11" s="203" t="s">
        <v>358</v>
      </c>
      <c r="O11" s="204"/>
      <c r="P11" s="203" t="s">
        <v>358</v>
      </c>
      <c r="Q11" s="204"/>
      <c r="R11" s="203" t="s">
        <v>358</v>
      </c>
      <c r="S11" s="204" t="b">
        <v>0</v>
      </c>
      <c r="T11" s="207" t="s">
        <v>359</v>
      </c>
      <c r="U11" s="204" t="b">
        <v>0</v>
      </c>
      <c r="V11" s="200"/>
    </row>
    <row r="12">
      <c r="A12" s="189" t="s">
        <v>360</v>
      </c>
      <c r="B12" s="212">
        <v>-720.0</v>
      </c>
      <c r="C12" s="212">
        <v>-800.0</v>
      </c>
      <c r="D12" s="212">
        <v>-960.0</v>
      </c>
      <c r="E12" s="193"/>
      <c r="F12" s="213">
        <v>-2480.0</v>
      </c>
      <c r="G12" s="195">
        <v>0.0</v>
      </c>
      <c r="H12" s="214">
        <v>4400.0</v>
      </c>
      <c r="I12" s="202"/>
      <c r="J12" s="211" t="s">
        <v>361</v>
      </c>
      <c r="K12" s="204" t="b">
        <v>1</v>
      </c>
      <c r="L12" s="207" t="s">
        <v>362</v>
      </c>
      <c r="M12" s="204" t="b">
        <v>1</v>
      </c>
      <c r="N12" s="207" t="s">
        <v>362</v>
      </c>
      <c r="O12" s="204" t="b">
        <v>1</v>
      </c>
      <c r="P12" s="207" t="s">
        <v>362</v>
      </c>
      <c r="Q12" s="204" t="b">
        <v>1</v>
      </c>
      <c r="R12" s="207" t="s">
        <v>362</v>
      </c>
      <c r="S12" s="204" t="b">
        <v>0</v>
      </c>
      <c r="T12" s="207" t="s">
        <v>362</v>
      </c>
      <c r="U12" s="204"/>
      <c r="V12" s="215"/>
    </row>
    <row r="13">
      <c r="A13" s="150" t="s">
        <v>354</v>
      </c>
      <c r="B13" s="216">
        <v>-900.0</v>
      </c>
      <c r="C13" s="158">
        <v>-1000.0</v>
      </c>
      <c r="D13" s="216">
        <v>-1200.0</v>
      </c>
      <c r="E13" s="193"/>
      <c r="F13" s="182">
        <v>-3100.0</v>
      </c>
      <c r="G13" s="162">
        <v>5500.0</v>
      </c>
      <c r="H13" s="217">
        <v>0.0</v>
      </c>
      <c r="I13" s="218"/>
      <c r="J13" s="207" t="s">
        <v>363</v>
      </c>
      <c r="K13" s="204" t="b">
        <v>1</v>
      </c>
      <c r="L13" s="207" t="s">
        <v>363</v>
      </c>
      <c r="M13" s="204" t="b">
        <v>0</v>
      </c>
      <c r="N13" s="207" t="s">
        <v>363</v>
      </c>
      <c r="O13" s="204" t="b">
        <v>0</v>
      </c>
      <c r="P13" s="207" t="s">
        <v>363</v>
      </c>
      <c r="Q13" s="204"/>
      <c r="R13" s="207" t="s">
        <v>363</v>
      </c>
      <c r="S13" s="204"/>
      <c r="T13" s="207" t="s">
        <v>363</v>
      </c>
      <c r="U13" s="204"/>
      <c r="V13" s="219"/>
    </row>
    <row r="14">
      <c r="A14" s="189" t="s">
        <v>364</v>
      </c>
      <c r="B14" s="220">
        <v>-800.0</v>
      </c>
      <c r="C14" s="221">
        <v>-850.0</v>
      </c>
      <c r="D14" s="222">
        <v>-950.0</v>
      </c>
      <c r="E14" s="193"/>
      <c r="F14" s="161">
        <f>(SUM(B14:D14))</f>
        <v>-2600</v>
      </c>
      <c r="G14" s="223">
        <v>0.0</v>
      </c>
      <c r="H14" s="163">
        <v>4800.0</v>
      </c>
      <c r="I14" s="224" t="s">
        <v>365</v>
      </c>
      <c r="J14" s="225" t="s">
        <v>366</v>
      </c>
      <c r="K14" s="180"/>
      <c r="L14" s="225" t="s">
        <v>366</v>
      </c>
      <c r="M14" s="180"/>
      <c r="N14" s="225" t="s">
        <v>366</v>
      </c>
      <c r="O14" s="180"/>
      <c r="P14" s="225" t="s">
        <v>366</v>
      </c>
      <c r="Q14" s="180"/>
      <c r="R14" s="225" t="s">
        <v>366</v>
      </c>
      <c r="S14" s="180"/>
      <c r="T14" s="225" t="s">
        <v>366</v>
      </c>
      <c r="U14" s="180"/>
      <c r="V14" s="219" t="s">
        <v>367</v>
      </c>
    </row>
    <row r="15">
      <c r="A15" s="189" t="s">
        <v>368</v>
      </c>
      <c r="B15" s="222">
        <v>-1000.0</v>
      </c>
      <c r="C15" s="136"/>
      <c r="D15" s="136"/>
      <c r="E15" s="226"/>
      <c r="F15" s="213">
        <v>-1000.0</v>
      </c>
      <c r="G15" s="223">
        <v>0.0</v>
      </c>
      <c r="H15" s="163">
        <v>2000.0</v>
      </c>
      <c r="I15" s="202"/>
      <c r="J15" s="227">
        <f>if(K6=true,$G$5,0)
+IF(AND(J7="單人牛", K7=TRUE), $G$6, IF(AND(J7="普牛", K7=TRUE), $G$7, IF(AND(J7="困牛", K7=TRUE), $G$10, 0)))
+ IF(AND(J8="單人魅", K8=TRUE), $G$8, IF(AND(J8="普魅", K8=TRUE), $G$9, IF(AND(J8="困魅", K8=TRUE), $G$11, 0)))
+ IF(AND(J9="單人小丑", K9=TRUE), $G$12, IF(AND(J9="小丑", K9=TRUE), $G$13, 0))
+ IF(AND(J10="普夢", K10=TRUE), $G$16, IF(AND(J10="困夢", K10=TRUE), $G$18, 0))
+ IF(AND(J11="普夢G4", K11=TRUE), $G$17, IF(AND(J11="困夢G4", K11=TRUE), $G$19, 0))
+ IF(AND(J12="普天", K12=TRUE), $G$20, IF(AND(J12="困天", K12=TRUE), $G$21, 0))
+ IF(AND(J13="普瘟", K13=TRUE), $G$22, IF(AND(J13="困瘟", K13=TRUE), $G$23, 0))
</f>
        <v>27500</v>
      </c>
      <c r="K15" s="180"/>
      <c r="L15" s="227">
        <f>if(M6=true,$G$5,0)
+IF(AND(L7="單人牛", M7=TRUE), $G$6, IF(AND(L7="普牛", M7=TRUE), $G$7, IF(AND(L7="困牛", M7=TRUE), $G$10, 0)))
+ IF(AND(L8="單人魅", M8=TRUE), $G$8, IF(AND(L8="普魅", M8=TRUE), $G$9, IF(AND(L8="困魅", M8=TRUE), $G$11, 0)))
+ IF(AND(L9="單人小丑", M9=TRUE), $G$12, IF(AND(L9="小丑", M9=TRUE), $G$13, 0))
+ IF(AND(L10="普夢", M10=TRUE), $G$16, IF(AND(L10="困夢", M10=TRUE), $G$18, 0))
+ IF(AND(L11="普夢G4", M11=TRUE), $G$17, IF(AND(L11="困夢G4", M11=TRUE), $G$19, 0))
+ IF(AND(L12="普天", M12=TRUE), $G$20, IF(AND(L12="困天", M12=TRUE), $G$21, 0))
+ IF(AND(L13="普瘟", M13=TRUE), $G$22, IF(AND(L13="困瘟", M13=TRUE), $G$23, 0))
</f>
        <v>18500</v>
      </c>
      <c r="M15" s="180"/>
      <c r="N15" s="227">
        <f>if(O6=true,$G$5,0)
+IF(AND(N7="單人牛", O7=TRUE), $G$6, IF(AND(N7="普牛", O7=TRUE), $G$7, IF(AND(N7="困牛", O7=TRUE), $G$10, 0)))
+ IF(AND(N8="單人魅", O8=TRUE), $G$8, IF(AND(N8="普魅", O8=TRUE), $G$9, IF(AND(N8="困魅", O8=TRUE), $G$11, 0)))
+ IF(AND(N9="單人小丑", O9=TRUE), $G$12, IF(AND(N9="小丑", O9=TRUE), $G$13, 0))
+ IF(AND(N10="普夢", O10=TRUE), $G$16, IF(AND(N10="困夢", O10=TRUE), $G$18, 0))
+ IF(AND(N11="普夢G4", O11=TRUE), $G$17, IF(AND(N11="困夢G4", O11=TRUE), $G$19, 0))
+ IF(AND(N12="普天", O12=TRUE), $G$20, IF(AND(N12="困天", O12=TRUE), $G$21, 0))
+ IF(AND(N13="普瘟", O13=TRUE), $G$22, IF(AND(N13="困瘟", O13=TRUE), $G$23, 0))
</f>
        <v>18500</v>
      </c>
      <c r="O15" s="180"/>
      <c r="P15" s="227">
        <f>if(Q6=true,$G$5,0)
+IF(AND(P7="單人牛", Q7=TRUE), $G$6, IF(AND(P7="普牛", Q7=TRUE), $G$7, IF(AND(P7="困牛", Q7=TRUE), $G$10, 0)))
+ IF(AND(P8="單人魅", Q8=TRUE), $G$8, IF(AND(P8="普魅", Q8=TRUE), $G$9, IF(AND(P8="困魅", Q8=TRUE), $G$11, 0)))
+ IF(AND(P9="單人小丑", Q9=TRUE), $G$12, IF(AND(P9="小丑", Q9=TRUE), $G$13, 0))
+ IF(AND(P10="普夢", Q10=TRUE), $G$16, IF(AND(P10="困夢", Q10=TRUE), $G$18, 0))
+ IF(AND(P11="普夢G4", Q11=TRUE), $G$17, IF(AND(P11="困夢G4", Q11=TRUE), $G$19, 0))
+ IF(AND(P12="普天", Q12=TRUE), $G$20, IF(AND(P12="困天", Q12=TRUE), $G$21, 0))
+ IF(AND(P13="普瘟", Q13=TRUE), $G$22, IF(AND(P13="困瘟", Q13=TRUE), $G$23, 0))
</f>
        <v>18500</v>
      </c>
      <c r="Q15" s="180"/>
      <c r="R15" s="227">
        <f>if(S6=true,$G$5,0)
+IF(AND(R7="單人牛", S7=TRUE), $G$6, IF(AND(R7="普牛", S7=TRUE), $G$7, IF(AND(R7="困牛", S7=TRUE), $G$10, 0)))
+ IF(AND(R8="單人魅", S8=TRUE), $G$8, IF(AND(R8="普魅", S8=TRUE), $G$9, IF(AND(R8="困魅", S8=TRUE), $G$11, 0)))
+ IF(AND(R9="單人小丑", S9=TRUE), $G$12, IF(AND(R9="小丑", S9=TRUE), $G$13, 0))
+ IF(AND(R10="普夢", S10=TRUE), $G$16, IF(AND(R10="困夢", S10=TRUE), $G$18, 0))
+ IF(AND(R11="普夢G4", S11=TRUE), $G$17, IF(AND(R11="困夢G4", S11=TRUE), $G$19, 0))
+ IF(AND(R12="普天", S12=TRUE), $G$20, IF(AND(R12="困天", S12=TRUE), $G$21, 0))
+ IF(AND(R13="普瘟", S13=TRUE), $G$22, IF(AND(R13="困瘟", S13=TRUE), $G$23, 0))
</f>
        <v>12250</v>
      </c>
      <c r="S15" s="180"/>
      <c r="T15" s="227">
        <f>if(U6=true,$G$5,0)
+IF(AND(T7="單人牛", U7=TRUE), $G$6, IF(AND(T7="普牛", U7=TRUE), $G$7, IF(AND(T7="困牛", U7=TRUE), $G$10, 0)))
+ IF(AND(T8="單人魅", U8=TRUE), $G$8, IF(AND(T8="普魅", U8=TRUE), $G$9, IF(AND(T8="困魅", U8=TRUE), $G$11, 0)))
+ IF(AND(T9="單人小丑", U9=TRUE), $G$12, IF(AND(T9="小丑", U9=TRUE), $G$13, 0))
+ IF(AND(T10="普夢", U10=TRUE), $G$16, IF(AND(T10="困夢", U10=TRUE), $G$18, 0))
+ IF(AND(T11="普夢G4", U11=TRUE), $G$17, IF(AND(T11="困夢G4", U11=TRUE), $G$19, 0))
+ IF(AND(T12="普天", U12=TRUE), $G$20, IF(AND(T12="困天", U12=TRUE), $G$21, 0))
+ IF(AND(T13="普瘟", U13=TRUE), $G$22, IF(AND(T13="困瘟", U13=TRUE), $G$23, 0))
</f>
        <v>12250</v>
      </c>
      <c r="U15" s="180"/>
      <c r="V15" s="228">
        <f>SUM(J15:U15)</f>
        <v>107500</v>
      </c>
    </row>
    <row r="16">
      <c r="A16" s="150" t="s">
        <v>357</v>
      </c>
      <c r="B16" s="216">
        <v>-1000.0</v>
      </c>
      <c r="C16" s="221">
        <v>-1100.0</v>
      </c>
      <c r="D16" s="216">
        <v>-1200.0</v>
      </c>
      <c r="E16" s="193"/>
      <c r="F16" s="213">
        <v>-3100.0</v>
      </c>
      <c r="G16" s="162">
        <v>6000.0</v>
      </c>
      <c r="H16" s="217">
        <v>0.0</v>
      </c>
      <c r="I16" s="202"/>
      <c r="J16" s="225" t="s">
        <v>369</v>
      </c>
      <c r="K16" s="180"/>
      <c r="L16" s="225" t="s">
        <v>369</v>
      </c>
      <c r="M16" s="180"/>
      <c r="N16" s="225" t="s">
        <v>369</v>
      </c>
      <c r="O16" s="180"/>
      <c r="P16" s="225" t="s">
        <v>369</v>
      </c>
      <c r="Q16" s="180"/>
      <c r="R16" s="225" t="s">
        <v>369</v>
      </c>
      <c r="S16" s="180"/>
      <c r="T16" s="225" t="s">
        <v>369</v>
      </c>
      <c r="U16" s="180"/>
      <c r="V16" s="219" t="s">
        <v>370</v>
      </c>
    </row>
    <row r="17">
      <c r="A17" s="189" t="s">
        <v>359</v>
      </c>
      <c r="B17" s="229"/>
      <c r="C17" s="230"/>
      <c r="D17" s="230"/>
      <c r="E17" s="201">
        <v>-1300.0</v>
      </c>
      <c r="F17" s="190">
        <v>-1300.0</v>
      </c>
      <c r="G17" s="162">
        <v>2500.0</v>
      </c>
      <c r="H17" s="231">
        <v>0.0</v>
      </c>
      <c r="I17" s="202"/>
      <c r="J17" s="227">
        <f>IF(K6=TRUE, $H$5, 0)
+ IF(AND(J7="單人牛", K7=TRUE), $H$6, IF(AND(J7="普牛", K7=TRUE), $H$7, IF(AND(J7="困牛", K7=TRUE), $H$10, 0)))
+ IF(AND(J8="單人魅", K8=TRUE), $H$8, IF(AND(J8="普魅", K8=TRUE), $H$9, IF(AND(J8="困魅", K8=TRUE), $H$11, 0)))
+ IF(AND(J9="單人小丑", K9=TRUE), $H$12, IF(AND(J9="小丑", K9=TRUE), $H$13, 0))
+ IF(AND(J10="普夢", K10=TRUE), $H$16, IF(AND(J10="困夢", K10=TRUE), $H$18, IF(AND(J10="單人普夢", K10=TRUE), $H$14, 0)))
+ IF(AND(J11="普夢G4", K11=TRUE), $H$17, IF(AND(J11="困夢G4", K11=TRUE), $H$19, IF(AND(J11="單人困夢G4", K11=TRUE), #REF!, 0)))
+ IF(AND(J12="普天", K12=TRUE), $H$20, IF(AND(J12="困天", K12=TRUE), $H$21, 0))
+ IF(AND(J13="普瘟", K13=TRUE), $H$22, IF(AND(J13="困瘟", K13=TRUE), $H$23, 0))
</f>
        <v>0</v>
      </c>
      <c r="K17" s="180"/>
      <c r="L17" s="227">
        <f>IF(M6=TRUE, $H$5, 0)
+ IF(AND(L7="單人牛", M7=TRUE), $H$6, IF(AND(L7="普牛", M7=TRUE), $H$7, IF(AND(L7="困牛", M7=TRUE), $H$10, 0)))
+ IF(AND(L8="單人魅", M8=TRUE), $H$8, IF(AND(L8="普魅", M8=TRUE), $H$9, IF(AND(L8="困魅", M8=TRUE), $H$11, 0)))
+ IF(AND(L9="單人小丑", M9=TRUE), $H$12, IF(AND(L9="小丑", M9=TRUE), $H$13, 0))
+ IF(AND(L10="普夢", M10=TRUE), $H$16, IF(AND(L10="困夢", M10=TRUE), $H$18, IF(AND(L10="單人普夢", M10=TRUE), $H$14, 0)))
+ IF(AND(L11="普夢G4", M11=TRUE), $H$17, IF(AND(L11="困夢G4", M11=TRUE), $H$19, IF(AND(L11="單人困夢G4", M11=TRUE), #REF!, 0)))
+ IF(AND(L12="普天", M12=TRUE), $H$20, IF(AND(L12="困天", M12=TRUE), $H$21, 0))
+ IF(AND(L13="普瘟", M13=TRUE), $H$22, IF(AND(L13="困瘟", M13=TRUE), $H$23, 0))
</f>
        <v>0</v>
      </c>
      <c r="M17" s="180"/>
      <c r="N17" s="227">
        <f>IF(O6=TRUE, $H$5, 0)
+ IF(AND(N7="單人牛", O7=TRUE), $H$6, IF(AND(N7="普牛", O7=TRUE), $H$7, IF(AND(N7="困牛", O7=TRUE), $H$10, 0)))
+ IF(AND(N8="單人魅", O8=TRUE), $H$8, IF(AND(N8="普魅", O8=TRUE), $H$9, IF(AND(N8="困魅", O8=TRUE), $H$11, 0)))
+ IF(AND(N9="單人小丑", O9=TRUE), $H$12, IF(AND(N9="小丑", O9=TRUE), $H$13, 0))
+ IF(AND(N10="普夢", O10=TRUE), $H$16, IF(AND(N10="困夢", O10=TRUE), $H$18, IF(AND(N10="單人普夢", O10=TRUE), $H$14, 0)))
+ IF(AND(N11="普夢G4", O11=TRUE), $H$17, IF(AND(N11="困夢G4", O11=TRUE), $H$19, IF(AND(N11="單人困夢G4", O11=TRUE), #REF!, 0)))
+ IF(AND(N12="普天", O12=TRUE), $H$20, IF(AND(N12="困天", O12=TRUE), $H$21, 0))
+ IF(AND(N13="普瘟", O13=TRUE), $H$22, IF(AND(N13="困瘟", O13=TRUE), $H$23, 0))
</f>
        <v>0</v>
      </c>
      <c r="O17" s="180"/>
      <c r="P17" s="227">
        <f>IF(Q6=TRUE, $H$5, 0)
+ IF(AND(P7="單人牛", Q7=TRUE), $H$6, IF(AND(P7="普牛", Q7=TRUE), $H$7, IF(AND(P7="困牛", Q7=TRUE), $H$10, 0)))
+ IF(AND(P8="單人魅", Q8=TRUE), $H$8, IF(AND(P8="普魅", Q8=TRUE), $H$9, IF(AND(P8="困魅", Q8=TRUE), $H$11, 0)))
+ IF(AND(P9="單人小丑", Q9=TRUE), $H$12, IF(AND(P9="小丑", Q9=TRUE), $H$13, 0))
+ IF(AND(P10="普夢", Q10=TRUE), $H$16, IF(AND(P10="困夢", Q10=TRUE), $H$18, IF(AND(P10="單人普夢", Q10=TRUE), $H$14, 0)))
+ IF(AND(P11="普夢G4", Q11=TRUE), $H$17, IF(AND(P11="困夢G4", Q11=TRUE), $H$19, IF(AND(P11="單人困夢G4", Q11=TRUE), #REF!, 0)))
+ IF(AND(P12="普天", Q12=TRUE), $H$20, IF(AND(P12="困天", Q12=TRUE), $H$21, 0))
+ IF(AND(P13="普瘟", Q13=TRUE), $H$22, IF(AND(P13="困瘟", Q13=TRUE), $H$23, 0))
</f>
        <v>0</v>
      </c>
      <c r="Q17" s="180"/>
      <c r="R17" s="227">
        <f>IF(S6=TRUE, $H$5, 0)
+ IF(AND(R7="單人牛", S7=TRUE), $H$6, IF(AND(R7="普牛", S7=TRUE), $H$7, IF(AND(R7="困牛", S7=TRUE), $H$10, 0)))
+ IF(AND(R8="單人魅", S8=TRUE), $H$8, IF(AND(R8="普魅", S8=TRUE), $H$9, IF(AND(R8="困魅", S8=TRUE), $H$11, 0)))
+ IF(AND(R9="單人小丑", S9=TRUE), $H$12, IF(AND(R9="小丑", S9=TRUE), $H$13, 0))
+ IF(AND(R10="普夢", S10=TRUE), $H$16, IF(AND(R10="困夢", S10=TRUE), $H$18, IF(AND(R10="單人普夢", S10=TRUE), $H$14, 0)))
+ IF(AND(R11="普夢G4", S11=TRUE), $H$17, IF(AND(R11="困夢G4", S11=TRUE), $H$19, IF(AND(R11="單人困夢G4", S11=TRUE), #REF!, 0)))
+ IF(AND(R12="普天", S12=TRUE), $H$20, IF(AND(R12="困天", S12=TRUE), $H$21, 0))
+ IF(AND(R13="普瘟", S13=TRUE), $H$22, IF(AND(R13="困瘟", S13=TRUE), $H$23, 0))
</f>
        <v>2250</v>
      </c>
      <c r="S17" s="180"/>
      <c r="T17" s="227">
        <f>IF(U6=TRUE, $H$5, 0)
+ IF(AND(T7="單人牛", U7=TRUE), $H$6, IF(AND(T7="普牛", U7=TRUE), $H$7, IF(AND(T7="困牛", U7=TRUE), $H$10, 0)))
+ IF(AND(T8="單人魅", U8=TRUE), $H$8, IF(AND(T8="普魅", U8=TRUE), $H$9, IF(AND(T8="困魅", U8=TRUE), $H$11, 0)))
+ IF(AND(T9="單人小丑", U9=TRUE), $H$12, IF(AND(T9="小丑", U9=TRUE), $H$13, 0))
+ IF(AND(T10="普夢", U10=TRUE), $H$16, IF(AND(T10="困夢", U10=TRUE), $H$18, IF(AND(T10="單人普夢", U10=TRUE), $H$14, 0)))
+ IF(AND(T11="普夢G4", U11=TRUE), $H$17, IF(AND(T11="困夢G4", U11=TRUE), $H$19, IF(AND(T11="單人困夢G4", U11=TRUE), #REF!, 0)))
+ IF(AND(T12="普天", U12=TRUE), $H$20, IF(AND(T12="困天", U12=TRUE), $H$21, 0))
+ IF(AND(T13="普瘟", U13=TRUE), $H$22, IF(AND(T13="困瘟", U13=TRUE), $H$23, 0))
</f>
        <v>2250</v>
      </c>
      <c r="U17" s="180"/>
      <c r="V17" s="228">
        <f>SUM(J17:U17)
+ IF(AND(J20="鹿", K20=TRUE), $F$5)
+ IF(AND(J21="困牛", K21=TRUE), $F$10, IF(AND(J21="普牛", K21=TRUE), $F$7, IF(AND(J21="單人牛", K21=TRUE), $F$6, 0)))
+ IF(AND(J22="困魅", K22=TRUE), $F$11, IF(AND(J22="普魅", K22=TRUE), $F$9, IF(AND(J22="單人魅", K22=TRUE), $F$8, 0)))
+ IF(AND(J23="小丑", K23=TRUE), $F$13, IF(AND(J23="單人小丑", K23=TRUE), $F$12, 0))
+ IF(AND(J24="普夢", K24=TRUE), $F$16, IF(AND(J24="困夢", K24=TRUE), $F$18))
+ IF(AND(J25="普夢G4", K25=TRUE), $F$17, IF(AND(J25="困夢G4", K25=TRUE), $F$19))
+ IF(AND(L20="鹿", M20=TRUE), $F$5) 
+ IF(AND(L21="困牛", M21=TRUE), $F$10, IF(AND(L21="普牛", M21=TRUE), $F$7, IF(AND(L21="單人牛", M21=TRUE), $F$6, 0))) 
+ IF(AND(L22="困魅", M22=TRUE), $F$11, IF(AND(L22="普魅", M22=TRUE), $F$9, IF(AND(L22="單人魅", M22=TRUE), $F$8, 0))) 
+ IF(AND(L23="小丑", M23=TRUE), $F$13, IF(AND(L23="單人小丑", M23=TRUE), $F$12, 0)) 
+ IF(AND(L24="普夢", M24=TRUE), $F$16, IF(AND(L24="困夢", M24=TRUE), $F$18, 0)) 
+ IF(AND(L25="普夢G4", M25=TRUE), $F$17, IF(AND(L25="困夢G4", M25=TRUE), $F$19, 0)) 
+ IF(AND(N20="鹿", O20=TRUE), $F$5) 
+ IF(AND(N21="困牛", O21=TRUE), $F$10, IF(AND(N21="普牛", O21=TRUE), $F$7, IF(AND(N21="單人牛", O21=TRUE), $F$6, 0))) 
+ IF(AND(N22="困魅", O22=TRUE), $F$11, IF(AND(N22="普魅", O22=TRUE), $F$9, IF(AND(N22="單人魅", O22=TRUE), $F$8, 0))) 
+ IF(AND(N23="小丑", O23=TRUE), $F$13, IF(AND(N23="單人小丑", O23=TRUE), $F$12, 0)) 
+ IF(AND(N24="普夢", O24=TRUE), $F$16, IF(AND(N24="困夢", O24=TRUE), $F$18, 0)) 
+ IF(AND(N25="普夢G4", O25=TRUE), $F$17, IF(AND(N25="困夢G4", O25=TRUE), $F$19, 0)) 
+ IF(AND(P20="鹿", Q20=TRUE), $F$5) 
+ IF(AND(P21="困牛", Q21=TRUE), $F$10, IF(AND(P21="普牛", Q21=TRUE), $F$7, IF(AND(P21="單人牛", Q21=TRUE), $F$6, 0))) 
+ IF(AND(P22="困魅", Q22=TRUE), $F$11, IF(AND(P22="普魅", Q22=TRUE), $F$9, IF(AND(P22="單人魅", Q22=TRUE), $F$8, 0))) 
+ IF(AND(P23="小丑", Q23=TRUE), $F$13, IF(AND(P23="單人小丑", Q23=TRUE), $F$12, 0)) 
+ IF(AND(P24="普夢", Q24=TRUE), $F$16, IF(AND(P24="困夢", Q24=TRUE), $F$18, 0)) 
+ IF(AND(P25="普夢G4", Q25=TRUE), $F$17, IF(AND(P25="困夢G4", Q25=TRUE), $F$19, 0)) 
+ IF(AND(R20="鹿", S20=TRUE), $F$5) 
+ IF(AND(R21="困牛", S21=TRUE), $F$10, IF(AND(R21="普牛", S21=TRUE), $F$7, IF(AND(R21="單人牛", S21=TRUE), $F$6, 0))) 
+ IF(AND(R22="困魅", S22=TRUE), $F$11, IF(AND(R22="普魅", S22=TRUE), $F$9, IF(AND(R22="單人魅", S22=TRUE), $F$8, 0))) 
+ IF(AND(R23="小丑", S23=TRUE), $F$13, IF(AND(R23="單人小丑", S23=TRUE), $F$12, 0)) 
+ IF(AND(R24="普夢", S24=TRUE), $F$16, IF(AND(R24="困夢", S24=TRUE), $F$18, 0)) 
+ IF(AND(R25="普夢G4", S25=TRUE), $F$17, IF(AND(R25="困夢G4", S25=TRUE), $F$19, 0))
+ IF(AND(T20="鹿", U20=TRUE), $F$5) 
+ IF(AND(T21="困牛", U21=TRUE), $F$10, IF(AND(T21="普牛", U21=TRUE), $F$7, IF(AND(T21="單人牛", U21=TRUE), $F$6, 0))) 
+ IF(AND(T22="困魅", U22=TRUE), $F$11, IF(AND(T22="普魅", U22=TRUE), $F$9, IF(AND(T22="單人魅", U22=TRUE), $F$8, 0))) 
+ IF(AND(T23="小丑", U23=TRUE), $F$13, IF(AND(T23="單人小丑", U23=TRUE), $F$12, 0)) 
+ IF(AND(T24="普夢", U24=TRUE), $F$16, IF(AND(T24="困夢", U24=TRUE), $F$18, 0)) 
+ IF(AND(T25="普夢G4", U25=TRUE), $F$17, IF(AND(T25="困夢G4", U25=TRUE), $F$19, 0))
+ IF(AND(J26="普天", K26=TRUE), $F$20, IF(AND(J26="困天", K26=TRUE), $F$21, 0))  
+ IF(AND(L26="普天", M26=TRUE), $F$20, IF(AND(L26="困天", M26=TRUE), $F$21, 0))  
+ IF(AND(N26="普天", O26=TRUE), $F$20, IF(AND(N26="困天", O26=TRUE), $F$21, 0))  
+ IF(AND(P26="普天", Q26=TRUE), $F$20, IF(AND(P26="困天", Q26=TRUE), $F$21, 0))  
+ IF(AND(R26="普天", S26=TRUE), $F$20, IF(AND(R26="困天", S26=TRUE), $F$21, 0))  
+ IF(AND(T26="普天", U26=TRUE), $F$20, IF(AND(T26="困天", U26=TRUE), $F$21, 0))
+ IF(AND(J27="普瘟", K27=TRUE), $F$22, IF(AND(J27="困瘟", K27=TRUE), $F$23, 0))  
+ IF(AND(L27="普瘟", M27=TRUE), $F$22, IF(AND(L27="困瘟", M27=TRUE), $F$23, 0))  
+ IF(AND(N27="普瘟", O27=TRUE), $F$22, IF(AND(N27="困瘟", O27=TRUE), $F$23, 0))  
+ IF(AND(P27="普瘟", Q27=TRUE), $F$22, IF(AND(P27="困瘟", Q27=TRUE), $F$23, 0))  
+ IF(AND(R27="普瘟", S27=TRUE), $F$22, IF(AND(R27="困瘟", S27=TRUE), $F$23, 0))  
+ IF(AND(T27="普瘟", U27=TRUE), $F$22, IF(AND(T27="困瘟", U27=TRUE), $F$23, 0))  
</f>
        <v>4500</v>
      </c>
      <c r="W17" s="232"/>
    </row>
    <row r="18">
      <c r="A18" s="150" t="s">
        <v>356</v>
      </c>
      <c r="B18" s="233">
        <v>-1300.0</v>
      </c>
      <c r="C18" s="234">
        <v>-1400.0</v>
      </c>
      <c r="D18" s="234">
        <v>-1500.0</v>
      </c>
      <c r="E18" s="193"/>
      <c r="F18" s="235">
        <v>-4200.0</v>
      </c>
      <c r="G18" s="174">
        <v>7500.0</v>
      </c>
      <c r="H18" s="217">
        <v>0.0</v>
      </c>
      <c r="I18" s="202"/>
      <c r="J18" s="236" t="s">
        <v>371</v>
      </c>
      <c r="K18" s="180"/>
      <c r="L18" s="236" t="s">
        <v>371</v>
      </c>
      <c r="M18" s="180"/>
      <c r="N18" s="236" t="s">
        <v>371</v>
      </c>
      <c r="O18" s="180"/>
      <c r="P18" s="236" t="s">
        <v>371</v>
      </c>
      <c r="Q18" s="180"/>
      <c r="R18" s="236" t="s">
        <v>371</v>
      </c>
      <c r="S18" s="180"/>
      <c r="T18" s="236" t="s">
        <v>371</v>
      </c>
      <c r="U18" s="180"/>
      <c r="V18" s="219" t="s">
        <v>372</v>
      </c>
      <c r="W18" s="232"/>
      <c r="X18" s="69" t="s">
        <v>373</v>
      </c>
    </row>
    <row r="19">
      <c r="A19" s="189" t="s">
        <v>358</v>
      </c>
      <c r="B19" s="237"/>
      <c r="C19" s="159"/>
      <c r="D19" s="237"/>
      <c r="E19" s="238">
        <v>-1700.0</v>
      </c>
      <c r="F19" s="235">
        <v>-1700.0</v>
      </c>
      <c r="G19" s="162">
        <v>3000.0</v>
      </c>
      <c r="H19" s="163">
        <v>0.0</v>
      </c>
      <c r="I19" s="218"/>
      <c r="J19" s="239">
        <f>IF(AND(J7="單人牛", K7=TRUE), $Y$5, IF(AND(J7="普牛", K7=TRUE), $Y$5, IF(AND(J7="困牛", K7=TRUE), $Y$5, 0)))
+IF(AND(J8="單人魅", K8=TRUE), $Y$6, IF(AND(J8="普魅", K8=TRUE), $Y$6, IF(AND(J8="困魅", K8=TRUE), $Y$6, 0)))
+IF(AND(J9="單人小丑", K9=TRUE), $Y$7, IF(AND(J9="小丑", K9=TRUE), $Y$7, 0))
+IF(AND(J10="普夢", K10=TRUE), $Y$8, IF(AND(J10="困夢", K10=TRUE), $Y$8, 0))
+IF(AND(J11="普夢G4", K11=TRUE), $Y$9, IF(AND(J11="困夢G4", K11=TRUE), $Y$9, 0))
+IF(AND(J12="普天", K12=TRUE), $Y$10, IF(AND(J12="困天", K12=TRUE), $Y$10, 0))</f>
        <v>1150</v>
      </c>
      <c r="K19" s="240"/>
      <c r="L19" s="239">
        <f>IF(AND(L7="單人牛", M7=TRUE), $Y$5, IF(AND(L7="普牛", M7=TRUE), $Y$5, IF(AND(L7="困牛", M7=TRUE), $Y$5, 0)))
+IF(AND(L8="單人魅", M8=TRUE), $Y$6, IF(AND(L8="普魅", M8=TRUE), $Y$6, IF(AND(L8="困魅", M8=TRUE), $Y$6, 0)))
+IF(AND(L9="單人小丑", M9=TRUE), $Y$7, IF(AND(L9="小丑", M9=TRUE), $Y$7, 0))
+IF(AND(L10="普夢", M10=TRUE), $Y$8, IF(AND(L10="困夢", M10=TRUE), $Y$8, 0))
+IF(AND(L11="普夢G4", M11=TRUE), $Y$9, IF(AND(L11="困夢G4", M11=TRUE), $Y$9, 0))
+IF(AND(L12="普天", M12=TRUE), $Y$10, IF(AND(L12="困天", M12=TRUE), $Y$10, 0))</f>
        <v>1200</v>
      </c>
      <c r="M19" s="240"/>
      <c r="N19" s="239">
        <f>IF(AND(N7="單人牛", O7=TRUE), $Y$5, IF(AND(N7="普牛", O7=TRUE), $Y$5, IF(AND(N7="困牛", O7=TRUE), $Y$5, 0)))
+IF(AND(N8="單人魅", O8=TRUE), $Y$6, IF(AND(N8="普魅", O8=TRUE), $Y$6, IF(AND(N8="困魅", O8=TRUE), $Y$6, 0)))
+IF(AND(N9="單人小丑", O9=TRUE), $Y$7, IF(AND(N9="小丑", O9=TRUE), $Y$7, 0))
+IF(AND(N10="普夢", O10=TRUE), $Y$8, IF(AND(N10="困夢", O10=TRUE), $Y$8, 0))
+IF(AND(N11="普夢G4", O11=TRUE), $Y$9, IF(AND(N11="困夢G4", O11=TRUE), $Y$9, 0))
+IF(AND(N12="普天", O12=TRUE), $Y$10, IF(AND(N12="困天", O12=TRUE), $Y$10, 0))</f>
        <v>1200</v>
      </c>
      <c r="O19" s="240"/>
      <c r="P19" s="239">
        <f>IF(AND(P7="單人牛", Q7=TRUE), $Y$5, IF(AND(P7="普牛", Q7=TRUE), $Y$5, IF(AND(P7="困牛", Q7=TRUE), $Y$5, 0)))
+IF(AND(P8="單人魅", Q8=TRUE), $Y$6, IF(AND(P8="普魅", Q8=TRUE), $Y$6, IF(AND(P8="困魅", Q8=TRUE), $Y$6, 0)))
+IF(AND(P9="單人小丑", Q9=TRUE), $Y$7, IF(AND(P9="小丑", Q9=TRUE), $Y$7, 0))
+IF(AND(P10="普夢", Q10=TRUE), $Y$8, IF(AND(P10="困夢", Q10=TRUE), $Y$8, 0))
+IF(AND(P11="普夢G4", Q11=TRUE), $Y$9, IF(AND(P11="困夢G4", Q11=TRUE), $Y$9, 0))
+IF(AND(P12="普天", Q12=TRUE), $Y$10, IF(AND(P12="困天", Q12=TRUE), $Y$10, 0))</f>
        <v>1200</v>
      </c>
      <c r="Q19" s="240"/>
      <c r="R19" s="239">
        <f>IF(AND(R7="單人牛", S7=TRUE), $Y$5, IF(AND(R7="普牛", S7=TRUE), $Y$5, IF(AND(R7="困牛", S7=TRUE), $Y$5, 0)))
+IF(AND(R8="單人魅", S8=TRUE), $Y$6, IF(AND(R8="普魅", S8=TRUE), $Y$6, IF(AND(R8="困魅", S8=TRUE), $Y$6, 0)))
+IF(AND(R9="單人小丑", S9=TRUE), $Y$7, IF(AND(R9="小丑", S9=TRUE), $Y$7, 0))
+IF(AND(R10="普夢", S10=TRUE), $Y$8, IF(AND(R10="困夢", S10=TRUE), $Y$8, 0))
+IF(AND(R11="普夢G4", S11=TRUE), $Y$9, IF(AND(R11="困夢G4", S11=TRUE), $Y$9, 0))
+IF(AND(R12="普天", S12=TRUE), $Y$10, IF(AND(R12="困天", S12=TRUE), $Y$10, 0))</f>
        <v>580</v>
      </c>
      <c r="S19" s="240"/>
      <c r="T19" s="239">
        <f>IF(AND(T7="單人牛", U7=TRUE), $Y$5, IF(AND(T7="普牛", U7=TRUE), $Y$5, IF(AND(T7="困牛", U7=TRUE), $Y$5, 0)))
+IF(AND(T8="單人魅", U8=TRUE), $Y$6, IF(AND(T8="普魅", U8=TRUE), $Y$6, IF(AND(T8="困魅", U8=TRUE), $Y$6, 0)))
+IF(AND(T9="單人小丑", U9=TRUE), $Y$7, IF(AND(T9="小丑", U9=TRUE), $Y$7, 0))
+IF(AND(T10="普夢", U10=TRUE), $Y$8, IF(AND(T10="困夢", U10=TRUE), $Y$8, 0))
+IF(AND(T11="普夢G4", U11=TRUE), $Y$9, IF(AND(T11="困夢G4", U11=TRUE), $Y$9, 0))
+IF(AND(T12="普天", U12=TRUE), $Y$10, IF(AND(T12="困天", U12=TRUE), $Y$10, 0))</f>
        <v>580</v>
      </c>
      <c r="U19" s="240"/>
      <c r="V19" s="241">
        <f>SUM(J19:U19)</f>
        <v>5910</v>
      </c>
      <c r="W19" s="232"/>
    </row>
    <row r="20">
      <c r="A20" s="189" t="s">
        <v>374</v>
      </c>
      <c r="B20" s="233">
        <v>-600.0</v>
      </c>
      <c r="C20" s="233">
        <v>-800.0</v>
      </c>
      <c r="D20" s="233">
        <v>-1000.0</v>
      </c>
      <c r="E20" s="242"/>
      <c r="F20" s="235">
        <f t="shared" ref="F20:F23" si="1">(SUM(B20:D20))</f>
        <v>-2400</v>
      </c>
      <c r="G20" s="162">
        <v>5500.0</v>
      </c>
      <c r="H20" s="163">
        <v>0.0</v>
      </c>
      <c r="I20" s="224" t="s">
        <v>375</v>
      </c>
      <c r="J20" s="198" t="s">
        <v>344</v>
      </c>
      <c r="K20" s="199" t="b">
        <v>0</v>
      </c>
      <c r="L20" s="198" t="s">
        <v>344</v>
      </c>
      <c r="M20" s="199"/>
      <c r="N20" s="198" t="s">
        <v>344</v>
      </c>
      <c r="O20" s="199"/>
      <c r="P20" s="198" t="s">
        <v>344</v>
      </c>
      <c r="Q20" s="199"/>
      <c r="R20" s="198" t="s">
        <v>344</v>
      </c>
      <c r="S20" s="199"/>
      <c r="T20" s="198" t="s">
        <v>344</v>
      </c>
      <c r="U20" s="199"/>
      <c r="V20" s="232"/>
      <c r="W20" s="232"/>
    </row>
    <row r="21">
      <c r="A21" s="189" t="s">
        <v>376</v>
      </c>
      <c r="B21" s="233">
        <v>-800.0</v>
      </c>
      <c r="C21" s="233">
        <v>-1000.0</v>
      </c>
      <c r="D21" s="233">
        <v>-1800.0</v>
      </c>
      <c r="E21" s="242"/>
      <c r="F21" s="235">
        <f t="shared" si="1"/>
        <v>-3600</v>
      </c>
      <c r="G21" s="162">
        <v>8500.0</v>
      </c>
      <c r="H21" s="163">
        <v>0.0</v>
      </c>
      <c r="I21" s="202"/>
      <c r="J21" s="203" t="s">
        <v>349</v>
      </c>
      <c r="K21" s="204"/>
      <c r="L21" s="203" t="s">
        <v>349</v>
      </c>
      <c r="M21" s="204"/>
      <c r="N21" s="203" t="s">
        <v>349</v>
      </c>
      <c r="O21" s="204"/>
      <c r="P21" s="203" t="s">
        <v>349</v>
      </c>
      <c r="Q21" s="204"/>
      <c r="R21" s="203" t="s">
        <v>349</v>
      </c>
      <c r="S21" s="204"/>
      <c r="T21" s="203" t="s">
        <v>349</v>
      </c>
      <c r="U21" s="204"/>
      <c r="V21" s="232"/>
      <c r="W21" s="232"/>
    </row>
    <row r="22">
      <c r="A22" s="189" t="s">
        <v>377</v>
      </c>
      <c r="B22" s="233">
        <v>-700.0</v>
      </c>
      <c r="C22" s="233">
        <v>-1000.0</v>
      </c>
      <c r="D22" s="233">
        <v>-2000.0</v>
      </c>
      <c r="E22" s="193"/>
      <c r="F22" s="235">
        <f t="shared" si="1"/>
        <v>-3700</v>
      </c>
      <c r="G22" s="162">
        <v>8500.0</v>
      </c>
      <c r="H22" s="243">
        <v>0.0</v>
      </c>
      <c r="I22" s="202"/>
      <c r="J22" s="203" t="s">
        <v>352</v>
      </c>
      <c r="K22" s="204" t="b">
        <v>0</v>
      </c>
      <c r="L22" s="203" t="s">
        <v>352</v>
      </c>
      <c r="M22" s="204" t="b">
        <v>0</v>
      </c>
      <c r="N22" s="203" t="s">
        <v>352</v>
      </c>
      <c r="O22" s="204" t="b">
        <v>0</v>
      </c>
      <c r="P22" s="203" t="s">
        <v>352</v>
      </c>
      <c r="Q22" s="204"/>
      <c r="R22" s="203" t="s">
        <v>352</v>
      </c>
      <c r="S22" s="204"/>
      <c r="T22" s="203" t="s">
        <v>352</v>
      </c>
      <c r="U22" s="204"/>
      <c r="V22" s="232"/>
      <c r="W22" s="232"/>
    </row>
    <row r="23">
      <c r="A23" s="189" t="s">
        <v>378</v>
      </c>
      <c r="B23" s="233"/>
      <c r="C23" s="233"/>
      <c r="D23" s="233"/>
      <c r="E23" s="193"/>
      <c r="F23" s="235">
        <f t="shared" si="1"/>
        <v>0</v>
      </c>
      <c r="G23" s="162"/>
      <c r="H23" s="243"/>
      <c r="I23" s="202"/>
      <c r="J23" s="203" t="s">
        <v>354</v>
      </c>
      <c r="K23" s="204" t="b">
        <v>0</v>
      </c>
      <c r="L23" s="203" t="s">
        <v>354</v>
      </c>
      <c r="M23" s="204" t="b">
        <v>0</v>
      </c>
      <c r="N23" s="203" t="s">
        <v>354</v>
      </c>
      <c r="O23" s="204"/>
      <c r="P23" s="203" t="s">
        <v>354</v>
      </c>
      <c r="Q23" s="204"/>
      <c r="R23" s="203" t="s">
        <v>354</v>
      </c>
      <c r="S23" s="204"/>
      <c r="T23" s="203" t="s">
        <v>354</v>
      </c>
      <c r="U23" s="204"/>
      <c r="V23" s="232"/>
      <c r="W23" s="244"/>
    </row>
    <row r="24">
      <c r="A24" s="189" t="s">
        <v>379</v>
      </c>
      <c r="B24" s="237"/>
      <c r="C24" s="159"/>
      <c r="D24" s="159"/>
      <c r="E24" s="193"/>
      <c r="F24" s="245"/>
      <c r="G24" s="162"/>
      <c r="H24" s="163"/>
      <c r="I24" s="202"/>
      <c r="J24" s="207" t="s">
        <v>357</v>
      </c>
      <c r="K24" s="204" t="b">
        <v>0</v>
      </c>
      <c r="L24" s="207" t="s">
        <v>357</v>
      </c>
      <c r="M24" s="204" t="b">
        <v>0</v>
      </c>
      <c r="N24" s="207" t="s">
        <v>357</v>
      </c>
      <c r="O24" s="204" t="b">
        <v>0</v>
      </c>
      <c r="P24" s="207" t="s">
        <v>357</v>
      </c>
      <c r="Q24" s="204"/>
      <c r="R24" s="207" t="s">
        <v>357</v>
      </c>
      <c r="S24" s="204"/>
      <c r="T24" s="207" t="s">
        <v>357</v>
      </c>
      <c r="U24" s="204"/>
      <c r="V24" s="246"/>
      <c r="W24" s="246"/>
      <c r="X24" s="247"/>
      <c r="Y24" s="247"/>
    </row>
    <row r="25">
      <c r="A25" s="189" t="s">
        <v>380</v>
      </c>
      <c r="B25" s="237"/>
      <c r="C25" s="159"/>
      <c r="D25" s="159"/>
      <c r="E25" s="193"/>
      <c r="F25" s="245"/>
      <c r="G25" s="162"/>
      <c r="H25" s="163"/>
      <c r="I25" s="202"/>
      <c r="J25" s="211" t="s">
        <v>359</v>
      </c>
      <c r="K25" s="204"/>
      <c r="L25" s="207" t="s">
        <v>359</v>
      </c>
      <c r="M25" s="204"/>
      <c r="N25" s="203" t="s">
        <v>358</v>
      </c>
      <c r="O25" s="204"/>
      <c r="P25" s="203" t="s">
        <v>358</v>
      </c>
      <c r="Q25" s="204"/>
      <c r="R25" s="203" t="s">
        <v>358</v>
      </c>
      <c r="S25" s="204"/>
      <c r="T25" s="203" t="s">
        <v>358</v>
      </c>
      <c r="U25" s="204"/>
      <c r="V25" s="246"/>
      <c r="W25" s="246"/>
      <c r="X25" s="177"/>
      <c r="Y25" s="177"/>
    </row>
    <row r="26">
      <c r="A26" s="150" t="s">
        <v>381</v>
      </c>
      <c r="B26" s="237"/>
      <c r="C26" s="159"/>
      <c r="D26" s="159"/>
      <c r="E26" s="193"/>
      <c r="F26" s="245"/>
      <c r="G26" s="162"/>
      <c r="H26" s="163"/>
      <c r="I26" s="202"/>
      <c r="J26" s="207" t="s">
        <v>361</v>
      </c>
      <c r="K26" s="204" t="b">
        <v>0</v>
      </c>
      <c r="L26" s="207" t="s">
        <v>362</v>
      </c>
      <c r="M26" s="204"/>
      <c r="N26" s="207" t="s">
        <v>362</v>
      </c>
      <c r="O26" s="204"/>
      <c r="P26" s="207" t="s">
        <v>362</v>
      </c>
      <c r="Q26" s="204"/>
      <c r="R26" s="207" t="s">
        <v>362</v>
      </c>
      <c r="S26" s="204"/>
      <c r="T26" s="207" t="s">
        <v>362</v>
      </c>
      <c r="U26" s="204"/>
      <c r="V26" s="246"/>
      <c r="W26" s="246"/>
      <c r="X26" s="246"/>
      <c r="Y26" s="177"/>
    </row>
    <row r="27">
      <c r="A27" s="150" t="s">
        <v>382</v>
      </c>
      <c r="B27" s="237"/>
      <c r="C27" s="159"/>
      <c r="D27" s="159"/>
      <c r="E27" s="193"/>
      <c r="F27" s="245"/>
      <c r="G27" s="162"/>
      <c r="H27" s="163"/>
      <c r="I27" s="248"/>
      <c r="J27" s="249" t="s">
        <v>363</v>
      </c>
      <c r="K27" s="250" t="b">
        <v>0</v>
      </c>
      <c r="L27" s="249" t="s">
        <v>363</v>
      </c>
      <c r="M27" s="250"/>
      <c r="N27" s="249" t="s">
        <v>363</v>
      </c>
      <c r="O27" s="250"/>
      <c r="P27" s="249" t="s">
        <v>363</v>
      </c>
      <c r="Q27" s="250"/>
      <c r="R27" s="249" t="s">
        <v>363</v>
      </c>
      <c r="S27" s="250"/>
      <c r="T27" s="249" t="s">
        <v>363</v>
      </c>
      <c r="U27" s="250"/>
      <c r="V27" s="246"/>
      <c r="W27" s="246"/>
      <c r="X27" s="246"/>
      <c r="Y27" s="177"/>
    </row>
    <row r="28">
      <c r="A28" s="150" t="s">
        <v>383</v>
      </c>
      <c r="B28" s="237"/>
      <c r="C28" s="159"/>
      <c r="D28" s="159"/>
      <c r="E28" s="193"/>
      <c r="F28" s="245"/>
      <c r="G28" s="162"/>
      <c r="H28" s="163"/>
      <c r="K28" s="177"/>
      <c r="O28" s="251"/>
      <c r="P28" s="177"/>
      <c r="Q28" s="246"/>
      <c r="R28" s="246"/>
      <c r="S28" s="246"/>
      <c r="T28" s="246"/>
      <c r="U28" s="246"/>
      <c r="V28" s="246"/>
      <c r="W28" s="246"/>
      <c r="X28" s="246"/>
      <c r="Y28" s="177"/>
    </row>
    <row r="29">
      <c r="A29" s="150" t="s">
        <v>383</v>
      </c>
      <c r="B29" s="237"/>
      <c r="C29" s="159"/>
      <c r="D29" s="159"/>
      <c r="E29" s="193"/>
      <c r="F29" s="245"/>
      <c r="G29" s="162"/>
      <c r="H29" s="163"/>
      <c r="K29" s="177"/>
      <c r="L29" s="177"/>
      <c r="M29" s="251"/>
      <c r="N29" s="251"/>
      <c r="O29" s="251"/>
      <c r="P29" s="246"/>
      <c r="Q29" s="246"/>
      <c r="R29" s="246"/>
      <c r="S29" s="246"/>
      <c r="T29" s="246"/>
      <c r="U29" s="246"/>
      <c r="V29" s="246"/>
      <c r="W29" s="246"/>
      <c r="X29" s="246"/>
      <c r="Y29" s="177"/>
    </row>
    <row r="30">
      <c r="A30" s="189" t="s">
        <v>384</v>
      </c>
      <c r="B30" s="237"/>
      <c r="C30" s="159"/>
      <c r="D30" s="159"/>
      <c r="E30" s="193"/>
      <c r="F30" s="245"/>
      <c r="G30" s="162"/>
      <c r="H30" s="163"/>
      <c r="K30" s="177"/>
      <c r="L30" s="177"/>
      <c r="M30" s="251"/>
      <c r="N30" s="251"/>
      <c r="O30" s="251"/>
      <c r="P30" s="246"/>
      <c r="Q30" s="246"/>
      <c r="R30" s="246"/>
      <c r="S30" s="246"/>
      <c r="T30" s="246"/>
      <c r="U30" s="246"/>
      <c r="V30" s="246"/>
      <c r="W30" s="252"/>
      <c r="X30" s="177"/>
      <c r="Y30" s="177"/>
    </row>
    <row r="31">
      <c r="A31" s="189" t="s">
        <v>385</v>
      </c>
      <c r="B31" s="237"/>
      <c r="C31" s="159"/>
      <c r="D31" s="159"/>
      <c r="E31" s="193"/>
      <c r="F31" s="245"/>
      <c r="G31" s="162"/>
      <c r="H31" s="163"/>
      <c r="K31" s="177"/>
      <c r="L31" s="177"/>
      <c r="M31" s="251"/>
      <c r="N31" s="251"/>
      <c r="O31" s="251"/>
      <c r="P31" s="246"/>
      <c r="Q31" s="246"/>
      <c r="R31" s="246"/>
      <c r="S31" s="246"/>
      <c r="T31" s="246"/>
      <c r="U31" s="246"/>
      <c r="V31" s="252"/>
      <c r="W31" s="252"/>
    </row>
    <row r="32">
      <c r="A32" s="189" t="s">
        <v>386</v>
      </c>
      <c r="B32" s="237"/>
      <c r="C32" s="159"/>
      <c r="D32" s="159"/>
      <c r="E32" s="193"/>
      <c r="F32" s="245"/>
      <c r="G32" s="162"/>
      <c r="H32" s="163"/>
      <c r="K32" s="253"/>
      <c r="L32" s="254"/>
      <c r="M32" s="232"/>
      <c r="N32" s="232"/>
      <c r="O32" s="232"/>
      <c r="P32" s="253"/>
      <c r="Q32" s="252"/>
      <c r="R32" s="252"/>
      <c r="S32" s="252"/>
      <c r="T32" s="252"/>
      <c r="U32" s="252"/>
      <c r="V32" s="252"/>
    </row>
    <row r="33">
      <c r="A33" s="189" t="s">
        <v>387</v>
      </c>
      <c r="B33" s="237"/>
      <c r="C33" s="159"/>
      <c r="D33" s="159"/>
      <c r="E33" s="193"/>
      <c r="F33" s="245"/>
      <c r="G33" s="162"/>
      <c r="H33" s="163"/>
      <c r="K33" s="253"/>
      <c r="L33" s="253"/>
      <c r="M33" s="254"/>
      <c r="N33" s="246"/>
      <c r="O33" s="255"/>
      <c r="P33" s="253"/>
      <c r="Q33" s="252"/>
      <c r="R33" s="252"/>
      <c r="S33" s="252"/>
      <c r="T33" s="252"/>
      <c r="U33" s="252"/>
    </row>
    <row r="34">
      <c r="M34" s="255"/>
    </row>
  </sheetData>
  <mergeCells count="62">
    <mergeCell ref="J14:K14"/>
    <mergeCell ref="J17:K17"/>
    <mergeCell ref="I20:I27"/>
    <mergeCell ref="L17:M17"/>
    <mergeCell ref="N17:O17"/>
    <mergeCell ref="J18:K18"/>
    <mergeCell ref="L18:M18"/>
    <mergeCell ref="N18:O18"/>
    <mergeCell ref="J19:K19"/>
    <mergeCell ref="L19:M19"/>
    <mergeCell ref="N19:O19"/>
    <mergeCell ref="L5:M5"/>
    <mergeCell ref="N5:O5"/>
    <mergeCell ref="I6:I13"/>
    <mergeCell ref="I14:I19"/>
    <mergeCell ref="L14:M14"/>
    <mergeCell ref="N14:O14"/>
    <mergeCell ref="N16:O16"/>
    <mergeCell ref="R3:S3"/>
    <mergeCell ref="T3:U3"/>
    <mergeCell ref="X3:Y3"/>
    <mergeCell ref="A1:F1"/>
    <mergeCell ref="G1:H1"/>
    <mergeCell ref="I1:U2"/>
    <mergeCell ref="J3:K3"/>
    <mergeCell ref="L3:M3"/>
    <mergeCell ref="N3:O3"/>
    <mergeCell ref="P3:Q3"/>
    <mergeCell ref="P5:Q5"/>
    <mergeCell ref="R5:S5"/>
    <mergeCell ref="J4:K4"/>
    <mergeCell ref="L4:M4"/>
    <mergeCell ref="N4:O4"/>
    <mergeCell ref="P4:Q4"/>
    <mergeCell ref="R4:S4"/>
    <mergeCell ref="T4:U4"/>
    <mergeCell ref="J5:K5"/>
    <mergeCell ref="T5:U5"/>
    <mergeCell ref="P14:Q14"/>
    <mergeCell ref="R14:S14"/>
    <mergeCell ref="T14:U14"/>
    <mergeCell ref="B15:E15"/>
    <mergeCell ref="J15:K15"/>
    <mergeCell ref="L15:M15"/>
    <mergeCell ref="N15:O15"/>
    <mergeCell ref="T15:U15"/>
    <mergeCell ref="J16:K16"/>
    <mergeCell ref="L16:M16"/>
    <mergeCell ref="P16:Q16"/>
    <mergeCell ref="R16:S16"/>
    <mergeCell ref="T16:U16"/>
    <mergeCell ref="P18:Q18"/>
    <mergeCell ref="P19:Q19"/>
    <mergeCell ref="R19:S19"/>
    <mergeCell ref="T19:U19"/>
    <mergeCell ref="P15:Q15"/>
    <mergeCell ref="R15:S15"/>
    <mergeCell ref="P17:Q17"/>
    <mergeCell ref="R17:S17"/>
    <mergeCell ref="T17:U17"/>
    <mergeCell ref="R18:S18"/>
    <mergeCell ref="T18:U18"/>
  </mergeCells>
  <dataValidations>
    <dataValidation type="list" allowBlank="1" showErrorMessage="1" sqref="J4 L4 N4 P4 R4 T4">
      <formula1>"督軍,毀滅者,狂戰士,聖騎士,槍砲大師,惡魔獵手,拳霸,槍術,格鬥大師,氣功師,鷹眼,鬥士,女槍,女巫,吟遊詩人,卡牌魔術師,半魔人,刀鋒,畫家,氣象術士"</formula1>
    </dataValidation>
    <dataValidation type="list" allowBlank="1" showErrorMessage="1" sqref="J12 L12 N12 P12 R12 T12 J26 L26 N26 P26 R26 T26">
      <formula1>"普天,困天"</formula1>
    </dataValidation>
    <dataValidation type="list" allowBlank="1" showErrorMessage="1" sqref="J9 L9 N9 P9 R9 T9 J23 L23 N23 P23 R23 T23">
      <formula1>"單人小丑,小丑"</formula1>
    </dataValidation>
    <dataValidation type="list" allowBlank="1" showErrorMessage="1" sqref="J10 L10 N10 P10 R10 T10 J24 L24 N24 P24 R24 T24">
      <formula1>"普夢,困夢"</formula1>
    </dataValidation>
    <dataValidation type="list" allowBlank="1" showErrorMessage="1" sqref="J8 L8 N8 P8 R8 T8 J22 L22 N22 P22 R22 T22">
      <formula1>"單人魅,普魅,困魅"</formula1>
    </dataValidation>
    <dataValidation type="list" allowBlank="1" showErrorMessage="1" sqref="J13 L13 N13 P13 R13 T13 J27 L27 N27 P27 R27 T27">
      <formula1>"普瘟,困瘟"</formula1>
    </dataValidation>
    <dataValidation type="list" allowBlank="1" showErrorMessage="1" sqref="J7 L7 N7 P7 R7 T7 J21 L21 N21 P21 R21 T21">
      <formula1>"單人牛,普牛,困牛"</formula1>
    </dataValidation>
    <dataValidation type="list" allowBlank="1" showErrorMessage="1" sqref="J11 L11 N11 P11 R11 T11 J25 L25 N25 P25 R25 T25">
      <formula1>"普夢G4,困夢G4"</formula1>
    </dataValidation>
    <dataValidation type="list" allowBlank="1" showErrorMessage="1" sqref="J6 L6 N6 P6 R6 T6 J20 L20 N20 P20 R20 T20">
      <formula1>"鹿"</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c r="F7" s="256" t="s">
        <v>388</v>
      </c>
    </row>
  </sheetData>
  <mergeCells count="1">
    <mergeCell ref="F7:L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5"/>
    <col customWidth="1" min="11" max="11" width="14.25"/>
  </cols>
  <sheetData>
    <row r="1" ht="28.5" customHeight="1">
      <c r="A1" s="257" t="s">
        <v>389</v>
      </c>
      <c r="B1" s="258"/>
      <c r="C1" s="258"/>
      <c r="D1" s="258"/>
      <c r="E1" s="258"/>
      <c r="F1" s="258"/>
      <c r="G1" s="258"/>
      <c r="H1" s="259" t="s">
        <v>390</v>
      </c>
      <c r="I1" s="258"/>
      <c r="J1" s="258"/>
      <c r="K1" s="260"/>
    </row>
    <row r="2">
      <c r="A2" s="28"/>
      <c r="K2" s="178"/>
    </row>
    <row r="3">
      <c r="A3" s="28"/>
      <c r="K3" s="178"/>
    </row>
    <row r="4">
      <c r="A4" s="28"/>
      <c r="K4" s="178"/>
    </row>
    <row r="5" ht="35.25" customHeight="1">
      <c r="A5" s="28"/>
      <c r="K5" s="178"/>
    </row>
    <row r="6">
      <c r="A6" s="261"/>
      <c r="K6" s="262"/>
    </row>
    <row r="7">
      <c r="A7" s="263" t="s">
        <v>391</v>
      </c>
      <c r="K7" s="178"/>
    </row>
    <row r="8">
      <c r="A8" s="263" t="s">
        <v>392</v>
      </c>
      <c r="K8" s="178"/>
    </row>
    <row r="9">
      <c r="A9" s="263" t="s">
        <v>393</v>
      </c>
      <c r="K9" s="178"/>
    </row>
    <row r="10">
      <c r="A10" s="263" t="s">
        <v>394</v>
      </c>
      <c r="K10" s="178"/>
    </row>
    <row r="11">
      <c r="A11" s="263" t="s">
        <v>395</v>
      </c>
      <c r="K11" s="178"/>
    </row>
    <row r="12">
      <c r="A12" s="264" t="s">
        <v>396</v>
      </c>
      <c r="D12" s="265" t="s">
        <v>397</v>
      </c>
      <c r="K12" s="178"/>
    </row>
    <row r="13">
      <c r="A13" s="263" t="s">
        <v>398</v>
      </c>
      <c r="K13" s="178"/>
    </row>
    <row r="14">
      <c r="A14" s="263" t="s">
        <v>399</v>
      </c>
      <c r="K14" s="178"/>
    </row>
    <row r="15">
      <c r="A15" s="263" t="s">
        <v>400</v>
      </c>
      <c r="K15" s="178"/>
    </row>
    <row r="16">
      <c r="A16" s="263" t="s">
        <v>401</v>
      </c>
      <c r="K16" s="178"/>
    </row>
    <row r="17">
      <c r="A17" s="263" t="s">
        <v>402</v>
      </c>
      <c r="K17" s="178"/>
    </row>
    <row r="18">
      <c r="A18" s="263" t="s">
        <v>403</v>
      </c>
      <c r="K18" s="178"/>
    </row>
    <row r="19">
      <c r="A19" s="263" t="s">
        <v>404</v>
      </c>
      <c r="K19" s="178"/>
    </row>
    <row r="20">
      <c r="A20" s="263" t="s">
        <v>405</v>
      </c>
      <c r="K20" s="178"/>
    </row>
    <row r="21">
      <c r="A21" s="263" t="s">
        <v>406</v>
      </c>
      <c r="K21" s="178"/>
    </row>
    <row r="22">
      <c r="A22" s="263" t="s">
        <v>407</v>
      </c>
      <c r="K22" s="178"/>
    </row>
    <row r="23">
      <c r="A23" s="263" t="s">
        <v>408</v>
      </c>
      <c r="K23" s="178"/>
    </row>
    <row r="24">
      <c r="A24" s="263" t="s">
        <v>409</v>
      </c>
      <c r="K24" s="178"/>
    </row>
    <row r="25">
      <c r="A25" s="263" t="s">
        <v>410</v>
      </c>
      <c r="K25" s="178"/>
    </row>
    <row r="26">
      <c r="A26" s="266" t="s">
        <v>411</v>
      </c>
      <c r="B26" s="19"/>
      <c r="C26" s="19"/>
      <c r="D26" s="19"/>
      <c r="E26" s="19"/>
      <c r="F26" s="19"/>
      <c r="G26" s="19"/>
      <c r="H26" s="19"/>
      <c r="I26" s="19"/>
      <c r="J26" s="19"/>
      <c r="K26" s="267"/>
    </row>
    <row r="32">
      <c r="A32" s="67" t="s">
        <v>412</v>
      </c>
    </row>
    <row r="33">
      <c r="A33" s="268"/>
    </row>
    <row r="47">
      <c r="A47" s="269" t="s">
        <v>413</v>
      </c>
    </row>
    <row r="48">
      <c r="A48" s="268"/>
    </row>
  </sheetData>
  <mergeCells count="27">
    <mergeCell ref="A1:G5"/>
    <mergeCell ref="H1:K5"/>
    <mergeCell ref="A7:K7"/>
    <mergeCell ref="A8:K8"/>
    <mergeCell ref="A9:K9"/>
    <mergeCell ref="A10:K10"/>
    <mergeCell ref="A11:K11"/>
    <mergeCell ref="A12:C12"/>
    <mergeCell ref="D12:K12"/>
    <mergeCell ref="A13:K13"/>
    <mergeCell ref="A14:K14"/>
    <mergeCell ref="A15:K15"/>
    <mergeCell ref="A16:K16"/>
    <mergeCell ref="A17:K17"/>
    <mergeCell ref="A25:K25"/>
    <mergeCell ref="A26:K26"/>
    <mergeCell ref="A32:I32"/>
    <mergeCell ref="A33:I46"/>
    <mergeCell ref="A47:I47"/>
    <mergeCell ref="A48:I59"/>
    <mergeCell ref="A18:K18"/>
    <mergeCell ref="A19:K19"/>
    <mergeCell ref="A20:K20"/>
    <mergeCell ref="A21:K21"/>
    <mergeCell ref="A22:K22"/>
    <mergeCell ref="A23:K23"/>
    <mergeCell ref="A24:K2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5.88"/>
  </cols>
  <sheetData>
    <row r="5">
      <c r="A5" s="270" t="s">
        <v>414</v>
      </c>
      <c r="G5" s="271" t="s">
        <v>415</v>
      </c>
      <c r="H5" s="272" t="s">
        <v>416</v>
      </c>
    </row>
    <row r="6">
      <c r="A6" s="270" t="s">
        <v>417</v>
      </c>
      <c r="G6" s="271" t="s">
        <v>415</v>
      </c>
    </row>
    <row r="7">
      <c r="A7" s="270" t="s">
        <v>418</v>
      </c>
      <c r="G7" s="271" t="s">
        <v>415</v>
      </c>
    </row>
    <row r="8">
      <c r="A8" s="270" t="s">
        <v>419</v>
      </c>
      <c r="G8" s="271" t="s">
        <v>415</v>
      </c>
    </row>
    <row r="9">
      <c r="A9" s="273" t="s">
        <v>420</v>
      </c>
      <c r="G9" s="271" t="s">
        <v>415</v>
      </c>
    </row>
    <row r="10">
      <c r="A10" s="273" t="s">
        <v>421</v>
      </c>
      <c r="G10" s="271" t="s">
        <v>415</v>
      </c>
    </row>
    <row r="11">
      <c r="A11" s="270" t="s">
        <v>422</v>
      </c>
      <c r="G11" s="271" t="s">
        <v>415</v>
      </c>
      <c r="H11" s="274"/>
      <c r="I11" s="274"/>
      <c r="J11" s="274"/>
    </row>
    <row r="12">
      <c r="A12" s="270" t="s">
        <v>423</v>
      </c>
      <c r="G12" s="274"/>
      <c r="H12" s="274"/>
      <c r="I12" s="274"/>
      <c r="J12" s="274"/>
    </row>
    <row r="13">
      <c r="A13" s="270" t="s">
        <v>424</v>
      </c>
      <c r="G13" s="274"/>
      <c r="H13" s="274"/>
      <c r="I13" s="274"/>
      <c r="J13" s="274"/>
    </row>
    <row r="14">
      <c r="A14" s="270" t="s">
        <v>425</v>
      </c>
      <c r="G14" s="274"/>
      <c r="H14" s="274"/>
      <c r="I14" s="274"/>
      <c r="J14" s="274"/>
    </row>
    <row r="15">
      <c r="A15" s="270" t="s">
        <v>426</v>
      </c>
      <c r="G15" s="274"/>
      <c r="H15" s="274"/>
      <c r="I15" s="274"/>
      <c r="J15" s="274"/>
    </row>
    <row r="16">
      <c r="A16" s="270" t="s">
        <v>427</v>
      </c>
      <c r="G16" s="274"/>
      <c r="H16" s="274"/>
      <c r="I16" s="274"/>
      <c r="J16" s="274"/>
    </row>
    <row r="17">
      <c r="A17" s="270" t="s">
        <v>428</v>
      </c>
      <c r="G17" s="274"/>
      <c r="H17" s="274"/>
      <c r="I17" s="274"/>
      <c r="J17" s="274"/>
    </row>
    <row r="18">
      <c r="A18" s="270" t="s">
        <v>429</v>
      </c>
    </row>
    <row r="19">
      <c r="A19" s="270" t="s">
        <v>430</v>
      </c>
      <c r="H19" s="274"/>
      <c r="I19" s="274"/>
      <c r="J19" s="274"/>
    </row>
  </sheetData>
  <mergeCells count="16">
    <mergeCell ref="A5:F5"/>
    <mergeCell ref="H5:J10"/>
    <mergeCell ref="A6:F6"/>
    <mergeCell ref="A7:F7"/>
    <mergeCell ref="A8:F8"/>
    <mergeCell ref="A9:F9"/>
    <mergeCell ref="A10:F10"/>
    <mergeCell ref="A18:J18"/>
    <mergeCell ref="A19:G19"/>
    <mergeCell ref="A11:F11"/>
    <mergeCell ref="A12:F12"/>
    <mergeCell ref="A13:F13"/>
    <mergeCell ref="A14:F14"/>
    <mergeCell ref="A15:F15"/>
    <mergeCell ref="A16:F16"/>
    <mergeCell ref="A17:F1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7.13"/>
    <col customWidth="1" min="13" max="13" width="15.13"/>
  </cols>
  <sheetData>
    <row r="1">
      <c r="A1" s="272" t="s">
        <v>431</v>
      </c>
    </row>
    <row r="7">
      <c r="A7" s="270" t="s">
        <v>432</v>
      </c>
      <c r="N7" s="274"/>
      <c r="O7" s="274"/>
      <c r="P7" s="274"/>
      <c r="Q7" s="274"/>
      <c r="R7" s="274"/>
      <c r="S7" s="274"/>
      <c r="T7" s="274"/>
      <c r="U7" s="274"/>
      <c r="V7" s="274"/>
      <c r="W7" s="274"/>
      <c r="X7" s="274"/>
      <c r="Y7" s="274"/>
      <c r="Z7" s="274"/>
    </row>
    <row r="8">
      <c r="A8" s="270" t="s">
        <v>433</v>
      </c>
      <c r="N8" s="274"/>
      <c r="O8" s="274"/>
      <c r="P8" s="274"/>
      <c r="Q8" s="274"/>
      <c r="R8" s="274"/>
      <c r="S8" s="274"/>
      <c r="T8" s="274"/>
      <c r="U8" s="274"/>
      <c r="V8" s="274"/>
      <c r="W8" s="274"/>
      <c r="X8" s="274"/>
      <c r="Y8" s="274"/>
      <c r="Z8" s="274"/>
    </row>
    <row r="9">
      <c r="A9" s="270" t="s">
        <v>434</v>
      </c>
      <c r="N9" s="274"/>
      <c r="O9" s="274"/>
      <c r="P9" s="274"/>
      <c r="Q9" s="274"/>
      <c r="R9" s="274"/>
      <c r="S9" s="274"/>
      <c r="T9" s="274"/>
      <c r="U9" s="274"/>
      <c r="V9" s="274"/>
      <c r="W9" s="274"/>
      <c r="X9" s="274"/>
      <c r="Y9" s="274"/>
      <c r="Z9" s="274"/>
    </row>
    <row r="10">
      <c r="A10" s="270" t="s">
        <v>435</v>
      </c>
      <c r="N10" s="274"/>
      <c r="O10" s="274"/>
      <c r="P10" s="274"/>
      <c r="Q10" s="274"/>
      <c r="R10" s="274"/>
      <c r="S10" s="274"/>
      <c r="T10" s="274"/>
      <c r="U10" s="274"/>
      <c r="V10" s="274"/>
      <c r="W10" s="274"/>
      <c r="X10" s="274"/>
      <c r="Y10" s="274"/>
      <c r="Z10" s="274"/>
    </row>
    <row r="11">
      <c r="A11" s="270" t="s">
        <v>436</v>
      </c>
      <c r="N11" s="274"/>
      <c r="O11" s="274"/>
      <c r="P11" s="274"/>
      <c r="Q11" s="274"/>
      <c r="R11" s="274"/>
      <c r="S11" s="274"/>
      <c r="T11" s="274"/>
      <c r="U11" s="274"/>
      <c r="V11" s="274"/>
      <c r="W11" s="274"/>
      <c r="X11" s="274"/>
      <c r="Y11" s="274"/>
      <c r="Z11" s="274"/>
    </row>
    <row r="12">
      <c r="A12" s="270" t="s">
        <v>437</v>
      </c>
      <c r="N12" s="274"/>
      <c r="O12" s="274"/>
      <c r="P12" s="274"/>
      <c r="Q12" s="274"/>
      <c r="R12" s="274"/>
      <c r="S12" s="274"/>
      <c r="T12" s="274"/>
      <c r="U12" s="274"/>
      <c r="V12" s="274"/>
      <c r="W12" s="274"/>
      <c r="X12" s="274"/>
      <c r="Y12" s="274"/>
      <c r="Z12" s="274"/>
    </row>
    <row r="13">
      <c r="A13" s="270" t="s">
        <v>438</v>
      </c>
      <c r="N13" s="274"/>
      <c r="O13" s="274"/>
      <c r="P13" s="274"/>
      <c r="Q13" s="274"/>
      <c r="R13" s="274"/>
      <c r="S13" s="274"/>
      <c r="T13" s="274"/>
      <c r="U13" s="274"/>
      <c r="V13" s="274"/>
      <c r="W13" s="274"/>
      <c r="X13" s="274"/>
      <c r="Y13" s="274"/>
      <c r="Z13" s="274"/>
    </row>
  </sheetData>
  <mergeCells count="8">
    <mergeCell ref="A1:J6"/>
    <mergeCell ref="A7:J7"/>
    <mergeCell ref="A8:J8"/>
    <mergeCell ref="A9:J9"/>
    <mergeCell ref="A10:J10"/>
    <mergeCell ref="A11:J11"/>
    <mergeCell ref="A12:J12"/>
    <mergeCell ref="A13:J1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21.25"/>
    <col customWidth="1" min="3" max="3" width="15.75"/>
    <col customWidth="1" min="4" max="4" width="19.88"/>
    <col customWidth="1" min="5" max="5" width="30.25"/>
    <col customWidth="1" min="6" max="6" width="24.13"/>
    <col customWidth="1" min="7" max="7" width="17.13"/>
    <col customWidth="1" min="8" max="8" width="84.0"/>
  </cols>
  <sheetData>
    <row r="1">
      <c r="A1" s="275" t="s">
        <v>439</v>
      </c>
      <c r="B1" s="275" t="s">
        <v>440</v>
      </c>
      <c r="C1" s="275" t="s">
        <v>441</v>
      </c>
      <c r="D1" s="275" t="s">
        <v>442</v>
      </c>
      <c r="E1" s="275" t="s">
        <v>443</v>
      </c>
      <c r="F1" s="275" t="s">
        <v>444</v>
      </c>
      <c r="G1" s="275" t="s">
        <v>445</v>
      </c>
      <c r="H1" s="275" t="s">
        <v>446</v>
      </c>
      <c r="I1" s="276"/>
      <c r="J1" s="276"/>
      <c r="K1" s="276"/>
      <c r="L1" s="276"/>
      <c r="M1" s="276"/>
      <c r="N1" s="276"/>
      <c r="O1" s="276"/>
      <c r="P1" s="276"/>
      <c r="Q1" s="276"/>
      <c r="R1" s="276"/>
      <c r="S1" s="276"/>
      <c r="T1" s="276"/>
      <c r="U1" s="276"/>
      <c r="V1" s="276"/>
      <c r="W1" s="276"/>
      <c r="X1" s="276"/>
      <c r="Y1" s="276"/>
      <c r="Z1" s="276"/>
    </row>
    <row r="2">
      <c r="A2" s="277" t="s">
        <v>447</v>
      </c>
      <c r="C2" s="277" t="s">
        <v>448</v>
      </c>
      <c r="D2" s="278" t="s">
        <v>449</v>
      </c>
      <c r="E2" s="278" t="s">
        <v>450</v>
      </c>
      <c r="F2" s="279" t="s">
        <v>451</v>
      </c>
      <c r="G2" s="277" t="s">
        <v>452</v>
      </c>
      <c r="I2" s="276"/>
      <c r="J2" s="276"/>
      <c r="K2" s="276"/>
      <c r="L2" s="276"/>
      <c r="M2" s="276"/>
      <c r="N2" s="276"/>
      <c r="O2" s="276"/>
      <c r="P2" s="276"/>
      <c r="Q2" s="276"/>
      <c r="R2" s="276"/>
      <c r="S2" s="276"/>
      <c r="T2" s="276"/>
      <c r="U2" s="276"/>
      <c r="V2" s="276"/>
      <c r="W2" s="276"/>
      <c r="X2" s="276"/>
      <c r="Y2" s="276"/>
      <c r="Z2" s="276"/>
    </row>
    <row r="3" ht="128.25" customHeight="1">
      <c r="I3" s="276"/>
      <c r="J3" s="276"/>
      <c r="K3" s="276"/>
      <c r="L3" s="276"/>
      <c r="M3" s="276"/>
      <c r="N3" s="276"/>
      <c r="O3" s="276"/>
      <c r="P3" s="276"/>
      <c r="Q3" s="276"/>
      <c r="R3" s="276"/>
      <c r="S3" s="276"/>
      <c r="T3" s="276"/>
      <c r="U3" s="276"/>
      <c r="V3" s="276"/>
      <c r="W3" s="276"/>
      <c r="X3" s="276"/>
      <c r="Y3" s="276"/>
      <c r="Z3" s="276"/>
    </row>
    <row r="4">
      <c r="A4" s="280" t="s">
        <v>453</v>
      </c>
      <c r="B4" s="281" t="s">
        <v>454</v>
      </c>
      <c r="C4" s="282" t="s">
        <v>455</v>
      </c>
      <c r="D4" s="283" t="s">
        <v>456</v>
      </c>
      <c r="E4" s="282" t="s">
        <v>457</v>
      </c>
      <c r="F4" s="282" t="s">
        <v>458</v>
      </c>
      <c r="G4" s="282" t="s">
        <v>459</v>
      </c>
      <c r="H4" s="284" t="s">
        <v>460</v>
      </c>
      <c r="I4" s="276"/>
      <c r="J4" s="276"/>
      <c r="K4" s="276"/>
      <c r="L4" s="276"/>
      <c r="M4" s="276"/>
      <c r="N4" s="276"/>
      <c r="O4" s="276"/>
      <c r="P4" s="276"/>
      <c r="Q4" s="276"/>
      <c r="R4" s="276"/>
      <c r="S4" s="276"/>
      <c r="T4" s="276"/>
      <c r="U4" s="276"/>
      <c r="V4" s="276"/>
      <c r="W4" s="276"/>
      <c r="X4" s="276"/>
      <c r="Y4" s="276"/>
      <c r="Z4" s="276"/>
    </row>
    <row r="5">
      <c r="B5" s="281" t="s">
        <v>461</v>
      </c>
      <c r="C5" s="282" t="s">
        <v>462</v>
      </c>
      <c r="I5" s="276"/>
      <c r="J5" s="276"/>
      <c r="K5" s="276"/>
      <c r="L5" s="276"/>
      <c r="M5" s="276"/>
      <c r="N5" s="276"/>
      <c r="O5" s="276"/>
      <c r="P5" s="276"/>
      <c r="Q5" s="276"/>
      <c r="R5" s="276"/>
      <c r="S5" s="276"/>
      <c r="T5" s="276"/>
      <c r="U5" s="276"/>
      <c r="V5" s="276"/>
      <c r="W5" s="276"/>
      <c r="X5" s="276"/>
      <c r="Y5" s="276"/>
      <c r="Z5" s="276"/>
    </row>
    <row r="6">
      <c r="B6" s="281" t="s">
        <v>463</v>
      </c>
      <c r="C6" s="282" t="s">
        <v>464</v>
      </c>
      <c r="I6" s="276"/>
      <c r="J6" s="276"/>
      <c r="K6" s="276"/>
      <c r="L6" s="276"/>
      <c r="M6" s="276"/>
      <c r="N6" s="276"/>
      <c r="O6" s="276"/>
      <c r="P6" s="276"/>
      <c r="Q6" s="276"/>
      <c r="R6" s="276"/>
      <c r="S6" s="276"/>
      <c r="T6" s="276"/>
      <c r="U6" s="276"/>
      <c r="V6" s="276"/>
      <c r="W6" s="276"/>
      <c r="X6" s="276"/>
      <c r="Y6" s="276"/>
      <c r="Z6" s="276"/>
    </row>
    <row r="7">
      <c r="A7" s="285" t="s">
        <v>465</v>
      </c>
      <c r="B7" s="286" t="s">
        <v>465</v>
      </c>
      <c r="C7" s="287" t="s">
        <v>466</v>
      </c>
      <c r="D7" s="287" t="s">
        <v>467</v>
      </c>
      <c r="E7" s="287" t="s">
        <v>468</v>
      </c>
      <c r="F7" s="287" t="s">
        <v>469</v>
      </c>
      <c r="G7" s="287" t="s">
        <v>470</v>
      </c>
      <c r="H7" s="288" t="s">
        <v>471</v>
      </c>
      <c r="I7" s="276"/>
      <c r="J7" s="276"/>
      <c r="K7" s="276"/>
      <c r="L7" s="276"/>
      <c r="M7" s="276"/>
      <c r="N7" s="276"/>
      <c r="O7" s="276"/>
      <c r="P7" s="276"/>
      <c r="Q7" s="276"/>
      <c r="R7" s="276"/>
      <c r="S7" s="276"/>
      <c r="T7" s="276"/>
      <c r="U7" s="276"/>
      <c r="V7" s="276"/>
      <c r="W7" s="276"/>
      <c r="X7" s="276"/>
      <c r="Y7" s="276"/>
      <c r="Z7" s="276"/>
    </row>
    <row r="8">
      <c r="A8" s="289" t="s">
        <v>472</v>
      </c>
      <c r="B8" s="290" t="s">
        <v>473</v>
      </c>
      <c r="C8" s="291" t="s">
        <v>474</v>
      </c>
      <c r="D8" s="291" t="s">
        <v>467</v>
      </c>
      <c r="E8" s="277" t="s">
        <v>475</v>
      </c>
      <c r="F8" s="291" t="s">
        <v>476</v>
      </c>
      <c r="G8" s="291" t="s">
        <v>470</v>
      </c>
      <c r="H8" s="278" t="s">
        <v>477</v>
      </c>
      <c r="I8" s="276"/>
      <c r="J8" s="276"/>
      <c r="K8" s="276"/>
      <c r="L8" s="276"/>
      <c r="M8" s="276"/>
      <c r="N8" s="276"/>
      <c r="O8" s="276"/>
      <c r="P8" s="276"/>
      <c r="Q8" s="276"/>
      <c r="R8" s="276"/>
      <c r="S8" s="276"/>
      <c r="T8" s="276"/>
      <c r="U8" s="276"/>
      <c r="V8" s="276"/>
      <c r="W8" s="276"/>
      <c r="X8" s="276"/>
      <c r="Y8" s="276"/>
      <c r="Z8" s="276"/>
    </row>
    <row r="9">
      <c r="A9" s="292" t="s">
        <v>478</v>
      </c>
      <c r="B9" s="290" t="s">
        <v>479</v>
      </c>
      <c r="C9" s="291" t="s">
        <v>466</v>
      </c>
      <c r="D9" s="291" t="s">
        <v>467</v>
      </c>
      <c r="E9" s="277" t="s">
        <v>480</v>
      </c>
      <c r="F9" s="291" t="s">
        <v>481</v>
      </c>
      <c r="G9" s="291" t="s">
        <v>470</v>
      </c>
      <c r="H9" s="278" t="s">
        <v>482</v>
      </c>
      <c r="I9" s="276"/>
      <c r="J9" s="276"/>
      <c r="K9" s="276"/>
      <c r="L9" s="276"/>
      <c r="M9" s="276"/>
      <c r="N9" s="276"/>
      <c r="O9" s="276"/>
      <c r="P9" s="276"/>
      <c r="Q9" s="276"/>
      <c r="R9" s="276"/>
      <c r="S9" s="276"/>
      <c r="T9" s="276"/>
      <c r="U9" s="276"/>
      <c r="V9" s="276"/>
      <c r="W9" s="276"/>
      <c r="X9" s="276"/>
      <c r="Y9" s="276"/>
      <c r="Z9" s="276"/>
    </row>
    <row r="10">
      <c r="A10" s="293" t="s">
        <v>483</v>
      </c>
      <c r="B10" s="294" t="s">
        <v>483</v>
      </c>
      <c r="C10" s="295" t="s">
        <v>484</v>
      </c>
      <c r="D10" s="296" t="s">
        <v>485</v>
      </c>
      <c r="E10" s="295" t="s">
        <v>486</v>
      </c>
      <c r="F10" s="295" t="s">
        <v>487</v>
      </c>
      <c r="G10" s="295" t="s">
        <v>470</v>
      </c>
      <c r="H10" s="297" t="s">
        <v>488</v>
      </c>
      <c r="I10" s="276"/>
      <c r="J10" s="276"/>
      <c r="K10" s="276"/>
      <c r="L10" s="276"/>
      <c r="M10" s="276"/>
      <c r="N10" s="276"/>
      <c r="O10" s="276"/>
      <c r="P10" s="276"/>
      <c r="Q10" s="276"/>
      <c r="R10" s="276"/>
      <c r="S10" s="276"/>
      <c r="T10" s="276"/>
      <c r="U10" s="276"/>
      <c r="V10" s="276"/>
      <c r="W10" s="276"/>
      <c r="X10" s="276"/>
      <c r="Y10" s="276"/>
      <c r="Z10" s="276"/>
    </row>
    <row r="11">
      <c r="A11" s="293" t="s">
        <v>489</v>
      </c>
      <c r="B11" s="298" t="s">
        <v>490</v>
      </c>
      <c r="C11" s="296">
        <v>17.0</v>
      </c>
      <c r="D11" s="295" t="s">
        <v>491</v>
      </c>
      <c r="E11" s="295" t="s">
        <v>492</v>
      </c>
      <c r="F11" s="295" t="s">
        <v>487</v>
      </c>
      <c r="G11" s="295" t="s">
        <v>470</v>
      </c>
      <c r="H11" s="297" t="s">
        <v>493</v>
      </c>
      <c r="I11" s="276"/>
      <c r="J11" s="276"/>
      <c r="K11" s="276"/>
      <c r="L11" s="276"/>
      <c r="M11" s="276"/>
      <c r="N11" s="276"/>
      <c r="O11" s="276"/>
      <c r="P11" s="276"/>
      <c r="Q11" s="276"/>
      <c r="R11" s="276"/>
      <c r="S11" s="276"/>
      <c r="T11" s="276"/>
      <c r="U11" s="276"/>
      <c r="V11" s="276"/>
      <c r="W11" s="276"/>
      <c r="X11" s="276"/>
      <c r="Y11" s="276"/>
      <c r="Z11" s="276"/>
    </row>
    <row r="12">
      <c r="A12" s="299" t="s">
        <v>494</v>
      </c>
      <c r="B12" s="300" t="s">
        <v>495</v>
      </c>
      <c r="C12" s="301" t="s">
        <v>466</v>
      </c>
      <c r="D12" s="302" t="s">
        <v>485</v>
      </c>
      <c r="E12" s="301" t="s">
        <v>496</v>
      </c>
      <c r="F12" s="301" t="s">
        <v>497</v>
      </c>
      <c r="G12" s="301" t="s">
        <v>470</v>
      </c>
      <c r="H12" s="303" t="s">
        <v>498</v>
      </c>
      <c r="I12" s="276"/>
      <c r="J12" s="276"/>
      <c r="K12" s="276"/>
      <c r="L12" s="276"/>
      <c r="M12" s="276"/>
      <c r="N12" s="276"/>
      <c r="O12" s="276"/>
      <c r="P12" s="276"/>
      <c r="Q12" s="276"/>
      <c r="R12" s="276"/>
      <c r="S12" s="276"/>
      <c r="T12" s="276"/>
      <c r="U12" s="276"/>
      <c r="V12" s="276"/>
      <c r="W12" s="276"/>
      <c r="X12" s="276"/>
      <c r="Y12" s="276"/>
      <c r="Z12" s="276"/>
    </row>
    <row r="13">
      <c r="A13" s="299" t="s">
        <v>499</v>
      </c>
      <c r="B13" s="300" t="s">
        <v>500</v>
      </c>
      <c r="C13" s="302">
        <v>22.0</v>
      </c>
      <c r="D13" s="302" t="s">
        <v>501</v>
      </c>
      <c r="E13" s="301" t="s">
        <v>502</v>
      </c>
      <c r="F13" s="301" t="s">
        <v>503</v>
      </c>
      <c r="G13" s="301" t="s">
        <v>470</v>
      </c>
      <c r="H13" s="304" t="s">
        <v>504</v>
      </c>
      <c r="I13" s="276"/>
      <c r="J13" s="276"/>
      <c r="K13" s="276"/>
      <c r="L13" s="276"/>
      <c r="M13" s="276"/>
      <c r="N13" s="276"/>
      <c r="O13" s="276"/>
      <c r="P13" s="276"/>
      <c r="Q13" s="276"/>
      <c r="R13" s="276"/>
      <c r="S13" s="276"/>
      <c r="T13" s="276"/>
      <c r="U13" s="276"/>
      <c r="V13" s="276"/>
      <c r="W13" s="276"/>
      <c r="X13" s="276"/>
      <c r="Y13" s="276"/>
      <c r="Z13" s="276"/>
    </row>
    <row r="14">
      <c r="A14" s="305" t="s">
        <v>505</v>
      </c>
      <c r="B14" s="306" t="s">
        <v>505</v>
      </c>
      <c r="C14" s="301" t="s">
        <v>506</v>
      </c>
      <c r="D14" s="301" t="s">
        <v>491</v>
      </c>
      <c r="E14" s="301" t="s">
        <v>507</v>
      </c>
      <c r="F14" s="301" t="s">
        <v>508</v>
      </c>
      <c r="G14" s="301" t="s">
        <v>470</v>
      </c>
      <c r="H14" s="304" t="s">
        <v>509</v>
      </c>
      <c r="I14" s="276"/>
      <c r="J14" s="276"/>
      <c r="K14" s="276"/>
      <c r="L14" s="276"/>
      <c r="M14" s="276"/>
      <c r="N14" s="276"/>
      <c r="O14" s="276"/>
      <c r="P14" s="276"/>
      <c r="Q14" s="276"/>
      <c r="R14" s="276"/>
      <c r="S14" s="276"/>
      <c r="T14" s="276"/>
      <c r="U14" s="276"/>
      <c r="V14" s="276"/>
      <c r="W14" s="276"/>
      <c r="X14" s="276"/>
      <c r="Y14" s="276"/>
      <c r="Z14" s="276"/>
    </row>
    <row r="15">
      <c r="A15" s="289" t="s">
        <v>510</v>
      </c>
      <c r="B15" s="307" t="s">
        <v>511</v>
      </c>
      <c r="C15" s="291" t="s">
        <v>512</v>
      </c>
      <c r="D15" s="277" t="s">
        <v>485</v>
      </c>
      <c r="E15" s="277" t="s">
        <v>513</v>
      </c>
      <c r="F15" s="277" t="s">
        <v>514</v>
      </c>
      <c r="G15" s="291" t="s">
        <v>470</v>
      </c>
      <c r="H15" s="279" t="s">
        <v>515</v>
      </c>
      <c r="I15" s="276"/>
      <c r="J15" s="276"/>
      <c r="K15" s="276"/>
      <c r="L15" s="276"/>
      <c r="M15" s="276"/>
      <c r="N15" s="276"/>
      <c r="O15" s="276"/>
      <c r="P15" s="276"/>
      <c r="Q15" s="276"/>
      <c r="R15" s="276"/>
      <c r="S15" s="276"/>
      <c r="T15" s="276"/>
      <c r="U15" s="276"/>
      <c r="V15" s="276"/>
      <c r="W15" s="276"/>
      <c r="X15" s="276"/>
      <c r="Y15" s="276"/>
      <c r="Z15" s="276"/>
    </row>
    <row r="16">
      <c r="B16" s="307" t="s">
        <v>516</v>
      </c>
      <c r="C16" s="291" t="s">
        <v>517</v>
      </c>
      <c r="D16" s="277" t="s">
        <v>485</v>
      </c>
      <c r="I16" s="276"/>
      <c r="J16" s="276"/>
      <c r="K16" s="276"/>
      <c r="L16" s="276"/>
      <c r="M16" s="276"/>
      <c r="N16" s="276"/>
      <c r="O16" s="276"/>
      <c r="P16" s="276"/>
      <c r="Q16" s="276"/>
      <c r="R16" s="276"/>
      <c r="S16" s="276"/>
      <c r="T16" s="276"/>
      <c r="U16" s="276"/>
      <c r="V16" s="276"/>
      <c r="W16" s="276"/>
      <c r="X16" s="276"/>
      <c r="Y16" s="276"/>
      <c r="Z16" s="276"/>
    </row>
    <row r="17">
      <c r="A17" s="280" t="s">
        <v>518</v>
      </c>
      <c r="B17" s="308" t="s">
        <v>518</v>
      </c>
      <c r="C17" s="282" t="s">
        <v>512</v>
      </c>
      <c r="D17" s="283" t="s">
        <v>485</v>
      </c>
      <c r="E17" s="282" t="s">
        <v>519</v>
      </c>
      <c r="F17" s="282" t="s">
        <v>520</v>
      </c>
      <c r="G17" s="282" t="s">
        <v>470</v>
      </c>
      <c r="H17" s="284" t="s">
        <v>521</v>
      </c>
      <c r="I17" s="276"/>
      <c r="J17" s="276"/>
      <c r="K17" s="276"/>
      <c r="L17" s="276"/>
      <c r="M17" s="276"/>
      <c r="N17" s="276"/>
      <c r="O17" s="276"/>
      <c r="P17" s="276"/>
      <c r="Q17" s="276"/>
      <c r="R17" s="276"/>
      <c r="S17" s="276"/>
      <c r="T17" s="276"/>
      <c r="U17" s="276"/>
      <c r="V17" s="276"/>
      <c r="W17" s="276"/>
      <c r="X17" s="276"/>
      <c r="Y17" s="276"/>
      <c r="Z17" s="276"/>
    </row>
    <row r="18" ht="27.75" customHeight="1">
      <c r="B18" s="308" t="s">
        <v>522</v>
      </c>
      <c r="C18" s="282" t="s">
        <v>523</v>
      </c>
      <c r="D18" s="283" t="s">
        <v>485</v>
      </c>
      <c r="I18" s="276"/>
      <c r="J18" s="276"/>
      <c r="K18" s="276"/>
      <c r="L18" s="276"/>
      <c r="M18" s="276"/>
      <c r="N18" s="276"/>
      <c r="O18" s="276"/>
      <c r="P18" s="276"/>
      <c r="Q18" s="276"/>
      <c r="R18" s="276"/>
      <c r="S18" s="276"/>
      <c r="T18" s="276"/>
      <c r="U18" s="276"/>
      <c r="V18" s="276"/>
      <c r="W18" s="276"/>
      <c r="X18" s="276"/>
      <c r="Y18" s="276"/>
      <c r="Z18" s="276"/>
    </row>
    <row r="19">
      <c r="A19" s="289" t="s">
        <v>524</v>
      </c>
      <c r="B19" s="307" t="s">
        <v>525</v>
      </c>
      <c r="C19" s="291" t="s">
        <v>512</v>
      </c>
      <c r="D19" s="291" t="s">
        <v>526</v>
      </c>
      <c r="E19" s="291" t="s">
        <v>527</v>
      </c>
      <c r="F19" s="291" t="s">
        <v>528</v>
      </c>
      <c r="G19" s="291" t="s">
        <v>529</v>
      </c>
      <c r="H19" s="278" t="s">
        <v>530</v>
      </c>
      <c r="I19" s="276"/>
      <c r="J19" s="276"/>
      <c r="K19" s="276"/>
      <c r="L19" s="276"/>
      <c r="M19" s="276"/>
      <c r="N19" s="276"/>
      <c r="O19" s="276"/>
      <c r="P19" s="276"/>
      <c r="Q19" s="276"/>
      <c r="R19" s="276"/>
      <c r="S19" s="276"/>
      <c r="T19" s="276"/>
      <c r="U19" s="276"/>
      <c r="V19" s="276"/>
      <c r="W19" s="276"/>
      <c r="X19" s="276"/>
      <c r="Y19" s="276"/>
      <c r="Z19" s="276"/>
    </row>
    <row r="20">
      <c r="A20" s="285" t="s">
        <v>531</v>
      </c>
      <c r="B20" s="286" t="s">
        <v>532</v>
      </c>
      <c r="C20" s="287" t="s">
        <v>512</v>
      </c>
      <c r="D20" s="309" t="s">
        <v>485</v>
      </c>
      <c r="E20" s="287" t="s">
        <v>533</v>
      </c>
      <c r="F20" s="287" t="s">
        <v>534</v>
      </c>
      <c r="G20" s="287" t="s">
        <v>529</v>
      </c>
      <c r="H20" s="310" t="s">
        <v>535</v>
      </c>
      <c r="I20" s="276"/>
      <c r="J20" s="276"/>
      <c r="K20" s="276"/>
      <c r="L20" s="276"/>
      <c r="M20" s="276"/>
      <c r="N20" s="276"/>
      <c r="O20" s="276"/>
      <c r="P20" s="276"/>
      <c r="Q20" s="276"/>
      <c r="R20" s="276"/>
      <c r="S20" s="276"/>
      <c r="T20" s="276"/>
      <c r="U20" s="276"/>
      <c r="V20" s="276"/>
      <c r="W20" s="276"/>
      <c r="X20" s="276"/>
      <c r="Y20" s="276"/>
      <c r="Z20" s="276"/>
    </row>
    <row r="21">
      <c r="A21" s="289" t="s">
        <v>536</v>
      </c>
      <c r="B21" s="307" t="s">
        <v>537</v>
      </c>
      <c r="C21" s="291" t="s">
        <v>466</v>
      </c>
      <c r="D21" s="277" t="s">
        <v>485</v>
      </c>
      <c r="E21" s="291" t="s">
        <v>538</v>
      </c>
      <c r="F21" s="291" t="s">
        <v>528</v>
      </c>
      <c r="G21" s="291" t="s">
        <v>529</v>
      </c>
      <c r="H21" s="278" t="s">
        <v>539</v>
      </c>
      <c r="I21" s="276"/>
      <c r="J21" s="276"/>
      <c r="K21" s="276"/>
      <c r="L21" s="276"/>
      <c r="M21" s="276"/>
      <c r="N21" s="276"/>
      <c r="O21" s="276"/>
      <c r="P21" s="276"/>
      <c r="Q21" s="276"/>
      <c r="R21" s="276"/>
      <c r="S21" s="276"/>
      <c r="T21" s="276"/>
      <c r="U21" s="276"/>
      <c r="V21" s="276"/>
      <c r="W21" s="276"/>
      <c r="X21" s="276"/>
      <c r="Y21" s="276"/>
      <c r="Z21" s="276"/>
    </row>
    <row r="22">
      <c r="A22" s="289" t="s">
        <v>540</v>
      </c>
      <c r="B22" s="307" t="s">
        <v>541</v>
      </c>
      <c r="C22" s="291" t="s">
        <v>466</v>
      </c>
      <c r="D22" s="291" t="s">
        <v>491</v>
      </c>
      <c r="E22" s="291" t="s">
        <v>542</v>
      </c>
      <c r="F22" s="291" t="s">
        <v>528</v>
      </c>
      <c r="G22" s="291" t="s">
        <v>529</v>
      </c>
      <c r="H22" s="279" t="s">
        <v>543</v>
      </c>
      <c r="I22" s="276"/>
      <c r="J22" s="276"/>
      <c r="K22" s="276"/>
      <c r="L22" s="276"/>
      <c r="M22" s="276"/>
      <c r="N22" s="276"/>
      <c r="O22" s="276"/>
      <c r="P22" s="276"/>
      <c r="Q22" s="276"/>
      <c r="R22" s="276"/>
      <c r="S22" s="276"/>
      <c r="T22" s="276"/>
      <c r="U22" s="276"/>
      <c r="V22" s="276"/>
      <c r="W22" s="276"/>
      <c r="X22" s="276"/>
      <c r="Y22" s="276"/>
      <c r="Z22" s="276"/>
    </row>
    <row r="23">
      <c r="A23" s="311" t="s">
        <v>544</v>
      </c>
      <c r="B23" s="298" t="s">
        <v>545</v>
      </c>
      <c r="C23" s="295" t="s">
        <v>546</v>
      </c>
      <c r="D23" s="296" t="s">
        <v>485</v>
      </c>
      <c r="E23" s="296" t="s">
        <v>547</v>
      </c>
      <c r="F23" s="295" t="s">
        <v>487</v>
      </c>
      <c r="G23" s="295" t="s">
        <v>529</v>
      </c>
      <c r="H23" s="297" t="s">
        <v>548</v>
      </c>
      <c r="I23" s="276"/>
      <c r="J23" s="276"/>
      <c r="K23" s="276"/>
      <c r="L23" s="276"/>
      <c r="M23" s="276"/>
      <c r="N23" s="276"/>
      <c r="O23" s="276"/>
      <c r="P23" s="276"/>
      <c r="Q23" s="276"/>
      <c r="R23" s="276"/>
      <c r="S23" s="276"/>
      <c r="T23" s="276"/>
      <c r="U23" s="276"/>
      <c r="V23" s="276"/>
      <c r="W23" s="276"/>
      <c r="X23" s="276"/>
      <c r="Y23" s="276"/>
      <c r="Z23" s="276"/>
    </row>
    <row r="24">
      <c r="B24" s="298" t="s">
        <v>549</v>
      </c>
      <c r="C24" s="295" t="s">
        <v>455</v>
      </c>
      <c r="I24" s="276"/>
      <c r="J24" s="276"/>
      <c r="K24" s="276"/>
      <c r="L24" s="276"/>
      <c r="M24" s="276"/>
      <c r="N24" s="276"/>
      <c r="O24" s="276"/>
      <c r="P24" s="276"/>
      <c r="Q24" s="276"/>
      <c r="R24" s="276"/>
      <c r="S24" s="276"/>
      <c r="T24" s="276"/>
      <c r="U24" s="276"/>
      <c r="V24" s="276"/>
      <c r="W24" s="276"/>
      <c r="X24" s="276"/>
      <c r="Y24" s="276"/>
      <c r="Z24" s="276"/>
    </row>
    <row r="25">
      <c r="B25" s="298" t="s">
        <v>550</v>
      </c>
      <c r="C25" s="295" t="s">
        <v>551</v>
      </c>
      <c r="I25" s="276"/>
      <c r="J25" s="276"/>
      <c r="K25" s="276"/>
      <c r="L25" s="276"/>
      <c r="M25" s="276"/>
      <c r="N25" s="276"/>
      <c r="O25" s="276"/>
      <c r="P25" s="276"/>
      <c r="Q25" s="276"/>
      <c r="R25" s="276"/>
      <c r="S25" s="276"/>
      <c r="T25" s="276"/>
      <c r="U25" s="276"/>
      <c r="V25" s="276"/>
      <c r="W25" s="276"/>
      <c r="X25" s="276"/>
      <c r="Y25" s="276"/>
      <c r="Z25" s="276"/>
    </row>
    <row r="26">
      <c r="B26" s="298" t="s">
        <v>552</v>
      </c>
      <c r="C26" s="295" t="s">
        <v>474</v>
      </c>
      <c r="I26" s="276"/>
      <c r="J26" s="276"/>
      <c r="K26" s="276"/>
      <c r="L26" s="276"/>
      <c r="M26" s="276"/>
      <c r="N26" s="276"/>
      <c r="O26" s="276"/>
      <c r="P26" s="276"/>
      <c r="Q26" s="276"/>
      <c r="R26" s="276"/>
      <c r="S26" s="276"/>
      <c r="T26" s="276"/>
      <c r="U26" s="276"/>
      <c r="V26" s="276"/>
      <c r="W26" s="276"/>
      <c r="X26" s="276"/>
      <c r="Y26" s="276"/>
      <c r="Z26" s="276"/>
    </row>
    <row r="27">
      <c r="A27" s="289" t="s">
        <v>553</v>
      </c>
      <c r="B27" s="307" t="s">
        <v>553</v>
      </c>
      <c r="C27" s="291" t="s">
        <v>466</v>
      </c>
      <c r="D27" s="291" t="s">
        <v>554</v>
      </c>
      <c r="E27" s="291" t="s">
        <v>555</v>
      </c>
      <c r="F27" s="291" t="s">
        <v>556</v>
      </c>
      <c r="G27" s="291" t="s">
        <v>529</v>
      </c>
      <c r="H27" s="279" t="s">
        <v>557</v>
      </c>
      <c r="I27" s="276"/>
      <c r="J27" s="276"/>
      <c r="K27" s="276"/>
      <c r="L27" s="276"/>
      <c r="M27" s="276"/>
      <c r="N27" s="276"/>
      <c r="O27" s="276"/>
      <c r="P27" s="276"/>
      <c r="Q27" s="276"/>
      <c r="R27" s="276"/>
      <c r="S27" s="276"/>
      <c r="T27" s="276"/>
      <c r="U27" s="276"/>
      <c r="V27" s="276"/>
      <c r="W27" s="276"/>
      <c r="X27" s="276"/>
      <c r="Y27" s="276"/>
      <c r="Z27" s="276"/>
    </row>
    <row r="28">
      <c r="A28" s="289" t="s">
        <v>558</v>
      </c>
      <c r="B28" s="307" t="s">
        <v>559</v>
      </c>
      <c r="C28" s="291" t="s">
        <v>462</v>
      </c>
      <c r="D28" s="277" t="s">
        <v>485</v>
      </c>
      <c r="E28" s="291" t="s">
        <v>560</v>
      </c>
      <c r="F28" s="291" t="s">
        <v>528</v>
      </c>
      <c r="G28" s="291" t="s">
        <v>529</v>
      </c>
      <c r="H28" s="279" t="s">
        <v>561</v>
      </c>
      <c r="I28" s="276"/>
      <c r="J28" s="276"/>
      <c r="K28" s="276"/>
      <c r="L28" s="276"/>
      <c r="M28" s="276"/>
      <c r="N28" s="276"/>
      <c r="O28" s="276"/>
      <c r="P28" s="276"/>
      <c r="Q28" s="276"/>
      <c r="R28" s="276"/>
      <c r="S28" s="276"/>
      <c r="T28" s="276"/>
      <c r="U28" s="276"/>
      <c r="V28" s="276"/>
      <c r="W28" s="276"/>
      <c r="X28" s="276"/>
      <c r="Y28" s="276"/>
      <c r="Z28" s="276"/>
    </row>
    <row r="29">
      <c r="B29" s="307" t="s">
        <v>562</v>
      </c>
      <c r="C29" s="291" t="s">
        <v>551</v>
      </c>
      <c r="I29" s="276"/>
      <c r="J29" s="276"/>
      <c r="K29" s="276"/>
      <c r="L29" s="276"/>
      <c r="M29" s="276"/>
      <c r="N29" s="276"/>
      <c r="O29" s="276"/>
      <c r="P29" s="276"/>
      <c r="Q29" s="276"/>
      <c r="R29" s="276"/>
      <c r="S29" s="276"/>
      <c r="T29" s="276"/>
      <c r="U29" s="276"/>
      <c r="V29" s="276"/>
      <c r="W29" s="276"/>
      <c r="X29" s="276"/>
      <c r="Y29" s="276"/>
      <c r="Z29" s="276"/>
    </row>
    <row r="30">
      <c r="B30" s="307" t="s">
        <v>563</v>
      </c>
      <c r="C30" s="291" t="s">
        <v>564</v>
      </c>
      <c r="I30" s="276"/>
      <c r="J30" s="276"/>
      <c r="K30" s="276"/>
      <c r="L30" s="276"/>
      <c r="M30" s="276"/>
      <c r="N30" s="276"/>
      <c r="O30" s="276"/>
      <c r="P30" s="276"/>
      <c r="Q30" s="276"/>
      <c r="R30" s="276"/>
      <c r="S30" s="276"/>
      <c r="T30" s="276"/>
      <c r="U30" s="276"/>
      <c r="V30" s="276"/>
      <c r="W30" s="276"/>
      <c r="X30" s="276"/>
      <c r="Y30" s="276"/>
      <c r="Z30" s="276"/>
    </row>
    <row r="31">
      <c r="A31" s="289" t="s">
        <v>565</v>
      </c>
      <c r="B31" s="307" t="s">
        <v>565</v>
      </c>
      <c r="C31" s="291" t="s">
        <v>466</v>
      </c>
      <c r="D31" s="291" t="s">
        <v>566</v>
      </c>
      <c r="E31" s="291" t="s">
        <v>567</v>
      </c>
      <c r="F31" s="291" t="s">
        <v>481</v>
      </c>
      <c r="G31" s="291" t="s">
        <v>529</v>
      </c>
      <c r="H31" s="278" t="s">
        <v>568</v>
      </c>
      <c r="I31" s="276"/>
      <c r="J31" s="276"/>
      <c r="K31" s="276"/>
      <c r="L31" s="276"/>
      <c r="M31" s="276"/>
      <c r="N31" s="276"/>
      <c r="O31" s="276"/>
      <c r="P31" s="276"/>
      <c r="Q31" s="276"/>
      <c r="R31" s="276"/>
      <c r="S31" s="276"/>
      <c r="T31" s="276"/>
      <c r="U31" s="276"/>
      <c r="V31" s="276"/>
      <c r="W31" s="276"/>
      <c r="X31" s="276"/>
      <c r="Y31" s="276"/>
      <c r="Z31" s="276"/>
    </row>
    <row r="32">
      <c r="A32" s="289" t="s">
        <v>569</v>
      </c>
      <c r="B32" s="307" t="s">
        <v>569</v>
      </c>
      <c r="C32" s="291" t="s">
        <v>466</v>
      </c>
      <c r="D32" s="277" t="s">
        <v>501</v>
      </c>
      <c r="E32" s="291" t="s">
        <v>560</v>
      </c>
      <c r="F32" s="291" t="s">
        <v>528</v>
      </c>
      <c r="G32" s="291" t="s">
        <v>529</v>
      </c>
      <c r="H32" s="278" t="s">
        <v>570</v>
      </c>
      <c r="I32" s="276"/>
      <c r="J32" s="276"/>
      <c r="K32" s="276"/>
      <c r="L32" s="276"/>
      <c r="M32" s="276"/>
      <c r="N32" s="276"/>
      <c r="O32" s="276"/>
      <c r="P32" s="276"/>
      <c r="Q32" s="276"/>
      <c r="R32" s="276"/>
      <c r="S32" s="276"/>
      <c r="T32" s="276"/>
      <c r="U32" s="276"/>
      <c r="V32" s="276"/>
      <c r="W32" s="276"/>
      <c r="X32" s="276"/>
      <c r="Y32" s="276"/>
      <c r="Z32" s="276"/>
    </row>
    <row r="33">
      <c r="A33" s="312" t="s">
        <v>571</v>
      </c>
      <c r="B33" s="286" t="s">
        <v>571</v>
      </c>
      <c r="C33" s="287" t="s">
        <v>512</v>
      </c>
      <c r="D33" s="309" t="s">
        <v>572</v>
      </c>
      <c r="E33" s="287" t="s">
        <v>573</v>
      </c>
      <c r="F33" s="287" t="s">
        <v>534</v>
      </c>
      <c r="G33" s="287" t="s">
        <v>529</v>
      </c>
      <c r="H33" s="310" t="s">
        <v>574</v>
      </c>
      <c r="I33" s="276"/>
      <c r="J33" s="276"/>
      <c r="K33" s="276"/>
      <c r="L33" s="276"/>
      <c r="M33" s="276"/>
      <c r="N33" s="276"/>
      <c r="O33" s="276"/>
      <c r="P33" s="276"/>
      <c r="Q33" s="276"/>
      <c r="R33" s="276"/>
      <c r="S33" s="276"/>
      <c r="T33" s="276"/>
      <c r="U33" s="276"/>
      <c r="V33" s="276"/>
      <c r="W33" s="276"/>
      <c r="X33" s="276"/>
      <c r="Y33" s="276"/>
      <c r="Z33" s="276"/>
    </row>
    <row r="34">
      <c r="A34" s="289" t="s">
        <v>575</v>
      </c>
      <c r="B34" s="307" t="s">
        <v>576</v>
      </c>
      <c r="C34" s="291" t="s">
        <v>512</v>
      </c>
      <c r="D34" s="291" t="s">
        <v>526</v>
      </c>
      <c r="E34" s="291" t="s">
        <v>538</v>
      </c>
      <c r="F34" s="291" t="s">
        <v>528</v>
      </c>
      <c r="G34" s="291" t="s">
        <v>529</v>
      </c>
      <c r="H34" s="279" t="s">
        <v>577</v>
      </c>
      <c r="I34" s="276"/>
      <c r="J34" s="276"/>
      <c r="K34" s="276"/>
      <c r="L34" s="276"/>
      <c r="M34" s="276"/>
      <c r="N34" s="276"/>
      <c r="O34" s="276"/>
      <c r="P34" s="276"/>
      <c r="Q34" s="276"/>
      <c r="R34" s="276"/>
      <c r="S34" s="276"/>
      <c r="T34" s="276"/>
      <c r="U34" s="276"/>
      <c r="V34" s="276"/>
      <c r="W34" s="276"/>
      <c r="X34" s="276"/>
      <c r="Y34" s="276"/>
      <c r="Z34" s="276"/>
    </row>
    <row r="35">
      <c r="A35" s="289" t="s">
        <v>578</v>
      </c>
      <c r="B35" s="307" t="s">
        <v>579</v>
      </c>
      <c r="C35" s="291" t="s">
        <v>512</v>
      </c>
      <c r="D35" s="277" t="s">
        <v>485</v>
      </c>
      <c r="E35" s="291" t="s">
        <v>527</v>
      </c>
      <c r="F35" s="291" t="s">
        <v>528</v>
      </c>
      <c r="G35" s="291" t="s">
        <v>529</v>
      </c>
      <c r="H35" s="278" t="s">
        <v>580</v>
      </c>
      <c r="I35" s="276"/>
      <c r="J35" s="276"/>
      <c r="K35" s="276"/>
      <c r="L35" s="276"/>
      <c r="M35" s="276"/>
      <c r="N35" s="276"/>
      <c r="O35" s="276"/>
      <c r="P35" s="276"/>
      <c r="Q35" s="276"/>
      <c r="R35" s="276"/>
      <c r="S35" s="276"/>
      <c r="T35" s="276"/>
      <c r="U35" s="276"/>
      <c r="V35" s="276"/>
      <c r="W35" s="276"/>
      <c r="X35" s="276"/>
      <c r="Y35" s="276"/>
      <c r="Z35" s="276"/>
    </row>
    <row r="36">
      <c r="A36" s="285" t="s">
        <v>581</v>
      </c>
      <c r="B36" s="286" t="s">
        <v>581</v>
      </c>
      <c r="C36" s="287" t="s">
        <v>466</v>
      </c>
      <c r="D36" s="309" t="s">
        <v>501</v>
      </c>
      <c r="E36" s="287" t="s">
        <v>582</v>
      </c>
      <c r="F36" s="287" t="s">
        <v>583</v>
      </c>
      <c r="G36" s="287" t="s">
        <v>529</v>
      </c>
      <c r="H36" s="310" t="s">
        <v>584</v>
      </c>
      <c r="I36" s="276"/>
      <c r="J36" s="276"/>
      <c r="K36" s="276"/>
      <c r="L36" s="276"/>
      <c r="M36" s="276"/>
      <c r="N36" s="276"/>
      <c r="O36" s="276"/>
      <c r="P36" s="276"/>
      <c r="Q36" s="276"/>
      <c r="R36" s="276"/>
      <c r="S36" s="276"/>
      <c r="T36" s="276"/>
      <c r="U36" s="276"/>
      <c r="V36" s="276"/>
      <c r="W36" s="276"/>
      <c r="X36" s="276"/>
      <c r="Y36" s="276"/>
      <c r="Z36" s="276"/>
    </row>
    <row r="37">
      <c r="A37" s="292" t="s">
        <v>585</v>
      </c>
      <c r="B37" s="290" t="s">
        <v>585</v>
      </c>
      <c r="C37" s="291" t="s">
        <v>466</v>
      </c>
      <c r="D37" s="291" t="s">
        <v>566</v>
      </c>
      <c r="E37" s="277" t="s">
        <v>586</v>
      </c>
      <c r="F37" s="291" t="s">
        <v>587</v>
      </c>
      <c r="G37" s="291" t="s">
        <v>529</v>
      </c>
      <c r="H37" s="279" t="s">
        <v>588</v>
      </c>
      <c r="I37" s="276"/>
      <c r="J37" s="276"/>
      <c r="K37" s="276"/>
      <c r="L37" s="276"/>
      <c r="M37" s="276"/>
      <c r="N37" s="276"/>
      <c r="O37" s="276"/>
      <c r="P37" s="276"/>
      <c r="Q37" s="276"/>
      <c r="R37" s="276"/>
      <c r="S37" s="276"/>
      <c r="T37" s="276"/>
      <c r="U37" s="276"/>
      <c r="V37" s="276"/>
      <c r="W37" s="276"/>
      <c r="X37" s="276"/>
      <c r="Y37" s="276"/>
      <c r="Z37" s="276"/>
    </row>
    <row r="38">
      <c r="A38" s="289" t="s">
        <v>589</v>
      </c>
      <c r="B38" s="307" t="s">
        <v>589</v>
      </c>
      <c r="C38" s="291" t="s">
        <v>546</v>
      </c>
      <c r="D38" s="277" t="s">
        <v>485</v>
      </c>
      <c r="E38" s="291" t="s">
        <v>560</v>
      </c>
      <c r="F38" s="291" t="s">
        <v>528</v>
      </c>
      <c r="G38" s="291" t="s">
        <v>529</v>
      </c>
      <c r="H38" s="279" t="s">
        <v>590</v>
      </c>
      <c r="I38" s="276"/>
      <c r="J38" s="276"/>
      <c r="K38" s="276"/>
      <c r="L38" s="276"/>
      <c r="M38" s="276"/>
      <c r="N38" s="276"/>
      <c r="O38" s="276"/>
      <c r="P38" s="276"/>
      <c r="Q38" s="276"/>
      <c r="R38" s="276"/>
      <c r="S38" s="276"/>
      <c r="T38" s="276"/>
      <c r="U38" s="276"/>
      <c r="V38" s="276"/>
      <c r="W38" s="276"/>
      <c r="X38" s="276"/>
      <c r="Y38" s="276"/>
      <c r="Z38" s="276"/>
    </row>
    <row r="39">
      <c r="B39" s="307" t="s">
        <v>591</v>
      </c>
      <c r="C39" s="291" t="s">
        <v>455</v>
      </c>
      <c r="D39" s="291" t="s">
        <v>566</v>
      </c>
      <c r="I39" s="276"/>
      <c r="J39" s="276"/>
      <c r="K39" s="276"/>
      <c r="L39" s="276"/>
      <c r="M39" s="276"/>
      <c r="N39" s="276"/>
      <c r="O39" s="276"/>
      <c r="P39" s="276"/>
      <c r="Q39" s="276"/>
      <c r="R39" s="276"/>
      <c r="S39" s="276"/>
      <c r="T39" s="276"/>
      <c r="U39" s="276"/>
      <c r="V39" s="276"/>
      <c r="W39" s="276"/>
      <c r="X39" s="276"/>
      <c r="Y39" s="276"/>
      <c r="Z39" s="276"/>
    </row>
    <row r="40">
      <c r="B40" s="307" t="s">
        <v>592</v>
      </c>
      <c r="C40" s="291" t="s">
        <v>551</v>
      </c>
      <c r="D40" s="291" t="s">
        <v>566</v>
      </c>
      <c r="I40" s="276"/>
      <c r="J40" s="276"/>
      <c r="K40" s="276"/>
      <c r="L40" s="276"/>
      <c r="M40" s="276"/>
      <c r="N40" s="276"/>
      <c r="O40" s="276"/>
      <c r="P40" s="276"/>
      <c r="Q40" s="276"/>
      <c r="R40" s="276"/>
      <c r="S40" s="276"/>
      <c r="T40" s="276"/>
      <c r="U40" s="276"/>
      <c r="V40" s="276"/>
      <c r="W40" s="276"/>
      <c r="X40" s="276"/>
      <c r="Y40" s="276"/>
      <c r="Z40" s="276"/>
    </row>
    <row r="41">
      <c r="B41" s="307" t="s">
        <v>593</v>
      </c>
      <c r="C41" s="291" t="s">
        <v>564</v>
      </c>
      <c r="D41" s="291" t="s">
        <v>566</v>
      </c>
      <c r="I41" s="276"/>
      <c r="J41" s="276"/>
      <c r="K41" s="276"/>
      <c r="L41" s="276"/>
      <c r="M41" s="276"/>
      <c r="N41" s="276"/>
      <c r="O41" s="276"/>
      <c r="P41" s="276"/>
      <c r="Q41" s="276"/>
      <c r="R41" s="276"/>
      <c r="S41" s="276"/>
      <c r="T41" s="276"/>
      <c r="U41" s="276"/>
      <c r="V41" s="276"/>
      <c r="W41" s="276"/>
      <c r="X41" s="276"/>
      <c r="Y41" s="276"/>
      <c r="Z41" s="276"/>
    </row>
    <row r="42">
      <c r="A42" s="289" t="s">
        <v>594</v>
      </c>
      <c r="B42" s="307" t="s">
        <v>595</v>
      </c>
      <c r="C42" s="291" t="s">
        <v>466</v>
      </c>
      <c r="D42" s="277" t="s">
        <v>596</v>
      </c>
      <c r="E42" s="291" t="s">
        <v>538</v>
      </c>
      <c r="F42" s="291" t="s">
        <v>528</v>
      </c>
      <c r="G42" s="291" t="s">
        <v>529</v>
      </c>
      <c r="H42" s="279" t="s">
        <v>597</v>
      </c>
      <c r="I42" s="276"/>
      <c r="J42" s="276"/>
      <c r="K42" s="276"/>
      <c r="L42" s="276"/>
      <c r="M42" s="276"/>
      <c r="N42" s="276"/>
      <c r="O42" s="276"/>
      <c r="P42" s="276"/>
      <c r="Q42" s="276"/>
      <c r="R42" s="276"/>
      <c r="S42" s="276"/>
      <c r="T42" s="276"/>
      <c r="U42" s="276"/>
      <c r="V42" s="276"/>
      <c r="W42" s="276"/>
      <c r="X42" s="276"/>
      <c r="Y42" s="276"/>
      <c r="Z42" s="276"/>
    </row>
    <row r="43">
      <c r="A43" s="285" t="s">
        <v>598</v>
      </c>
      <c r="B43" s="286" t="s">
        <v>599</v>
      </c>
      <c r="C43" s="287" t="s">
        <v>455</v>
      </c>
      <c r="D43" s="287" t="s">
        <v>491</v>
      </c>
      <c r="E43" s="287" t="s">
        <v>600</v>
      </c>
      <c r="F43" s="287" t="s">
        <v>534</v>
      </c>
      <c r="G43" s="287" t="s">
        <v>529</v>
      </c>
      <c r="H43" s="288" t="s">
        <v>601</v>
      </c>
      <c r="I43" s="276"/>
      <c r="J43" s="276"/>
      <c r="K43" s="276"/>
      <c r="L43" s="276"/>
      <c r="M43" s="276"/>
      <c r="N43" s="276"/>
      <c r="O43" s="276"/>
      <c r="P43" s="276"/>
      <c r="Q43" s="276"/>
      <c r="R43" s="276"/>
      <c r="S43" s="276"/>
      <c r="T43" s="276"/>
      <c r="U43" s="276"/>
      <c r="V43" s="276"/>
      <c r="W43" s="276"/>
      <c r="X43" s="276"/>
      <c r="Y43" s="276"/>
      <c r="Z43" s="276"/>
    </row>
    <row r="44">
      <c r="B44" s="286" t="s">
        <v>602</v>
      </c>
      <c r="C44" s="287" t="s">
        <v>603</v>
      </c>
      <c r="D44" s="287" t="s">
        <v>491</v>
      </c>
      <c r="I44" s="276"/>
      <c r="J44" s="276"/>
      <c r="K44" s="276"/>
      <c r="L44" s="276"/>
      <c r="M44" s="276"/>
      <c r="N44" s="276"/>
      <c r="O44" s="276"/>
      <c r="P44" s="276"/>
      <c r="Q44" s="276"/>
      <c r="R44" s="276"/>
      <c r="S44" s="276"/>
      <c r="T44" s="276"/>
      <c r="U44" s="276"/>
      <c r="V44" s="276"/>
      <c r="W44" s="276"/>
      <c r="X44" s="276"/>
      <c r="Y44" s="276"/>
      <c r="Z44" s="276"/>
    </row>
    <row r="45">
      <c r="A45" s="289" t="s">
        <v>604</v>
      </c>
      <c r="B45" s="307" t="s">
        <v>605</v>
      </c>
      <c r="C45" s="291" t="s">
        <v>466</v>
      </c>
      <c r="D45" s="291" t="s">
        <v>526</v>
      </c>
      <c r="E45" s="291" t="s">
        <v>606</v>
      </c>
      <c r="F45" s="291" t="s">
        <v>481</v>
      </c>
      <c r="G45" s="291" t="s">
        <v>529</v>
      </c>
      <c r="H45" s="279" t="s">
        <v>607</v>
      </c>
      <c r="I45" s="276"/>
      <c r="J45" s="276"/>
      <c r="K45" s="276"/>
      <c r="L45" s="276"/>
      <c r="M45" s="276"/>
      <c r="N45" s="276"/>
      <c r="O45" s="276"/>
      <c r="P45" s="276"/>
      <c r="Q45" s="276"/>
      <c r="R45" s="276"/>
      <c r="S45" s="276"/>
      <c r="T45" s="276"/>
      <c r="U45" s="276"/>
      <c r="V45" s="276"/>
      <c r="W45" s="276"/>
      <c r="X45" s="276"/>
      <c r="Y45" s="276"/>
      <c r="Z45" s="276"/>
    </row>
    <row r="46">
      <c r="A46" s="289" t="s">
        <v>608</v>
      </c>
      <c r="B46" s="290" t="s">
        <v>609</v>
      </c>
      <c r="C46" s="291" t="s">
        <v>610</v>
      </c>
      <c r="D46" s="291" t="s">
        <v>566</v>
      </c>
      <c r="E46" s="277" t="s">
        <v>611</v>
      </c>
      <c r="F46" s="291" t="s">
        <v>481</v>
      </c>
      <c r="G46" s="291" t="s">
        <v>529</v>
      </c>
      <c r="H46" s="279" t="s">
        <v>612</v>
      </c>
      <c r="I46" s="276"/>
      <c r="J46" s="276"/>
      <c r="K46" s="276"/>
      <c r="L46" s="276"/>
      <c r="M46" s="276"/>
      <c r="N46" s="276"/>
      <c r="O46" s="276"/>
      <c r="P46" s="276"/>
      <c r="Q46" s="276"/>
      <c r="R46" s="276"/>
      <c r="S46" s="276"/>
      <c r="T46" s="276"/>
      <c r="U46" s="276"/>
      <c r="V46" s="276"/>
      <c r="W46" s="276"/>
      <c r="X46" s="276"/>
      <c r="Y46" s="276"/>
      <c r="Z46" s="276"/>
    </row>
    <row r="47">
      <c r="A47" s="289" t="s">
        <v>613</v>
      </c>
      <c r="B47" s="307" t="s">
        <v>614</v>
      </c>
      <c r="C47" s="291" t="s">
        <v>466</v>
      </c>
      <c r="D47" s="291" t="s">
        <v>566</v>
      </c>
      <c r="E47" s="291" t="s">
        <v>615</v>
      </c>
      <c r="F47" s="291" t="s">
        <v>481</v>
      </c>
      <c r="G47" s="291" t="s">
        <v>529</v>
      </c>
      <c r="H47" s="279" t="s">
        <v>616</v>
      </c>
      <c r="I47" s="276"/>
      <c r="J47" s="276"/>
      <c r="K47" s="276"/>
      <c r="L47" s="276"/>
      <c r="M47" s="276"/>
      <c r="N47" s="276"/>
      <c r="O47" s="276"/>
      <c r="P47" s="276"/>
      <c r="Q47" s="276"/>
      <c r="R47" s="276"/>
      <c r="S47" s="276"/>
      <c r="T47" s="276"/>
      <c r="U47" s="276"/>
      <c r="V47" s="276"/>
      <c r="W47" s="276"/>
      <c r="X47" s="276"/>
      <c r="Y47" s="276"/>
      <c r="Z47" s="276"/>
    </row>
    <row r="48">
      <c r="A48" s="289" t="s">
        <v>617</v>
      </c>
      <c r="B48" s="307" t="s">
        <v>618</v>
      </c>
      <c r="C48" s="291" t="s">
        <v>466</v>
      </c>
      <c r="D48" s="291" t="s">
        <v>491</v>
      </c>
      <c r="E48" s="291" t="s">
        <v>567</v>
      </c>
      <c r="F48" s="291" t="s">
        <v>619</v>
      </c>
      <c r="G48" s="291" t="s">
        <v>620</v>
      </c>
      <c r="H48" s="279" t="s">
        <v>621</v>
      </c>
      <c r="I48" s="276"/>
      <c r="J48" s="276"/>
      <c r="K48" s="276"/>
      <c r="L48" s="276"/>
      <c r="M48" s="276"/>
      <c r="N48" s="276"/>
      <c r="O48" s="276"/>
      <c r="P48" s="276"/>
      <c r="Q48" s="276"/>
      <c r="R48" s="276"/>
      <c r="S48" s="276"/>
      <c r="T48" s="276"/>
      <c r="U48" s="276"/>
      <c r="V48" s="276"/>
      <c r="W48" s="276"/>
      <c r="X48" s="276"/>
      <c r="Y48" s="276"/>
      <c r="Z48" s="276"/>
    </row>
    <row r="49">
      <c r="A49" s="289" t="s">
        <v>622</v>
      </c>
      <c r="B49" s="307" t="s">
        <v>623</v>
      </c>
      <c r="C49" s="291" t="s">
        <v>546</v>
      </c>
      <c r="D49" s="277" t="s">
        <v>572</v>
      </c>
      <c r="E49" s="291" t="s">
        <v>624</v>
      </c>
      <c r="F49" s="291" t="s">
        <v>619</v>
      </c>
      <c r="G49" s="291" t="s">
        <v>620</v>
      </c>
      <c r="H49" s="279" t="s">
        <v>625</v>
      </c>
      <c r="I49" s="276"/>
      <c r="J49" s="276"/>
      <c r="K49" s="276"/>
      <c r="L49" s="276"/>
      <c r="M49" s="276"/>
      <c r="N49" s="276"/>
      <c r="O49" s="276"/>
      <c r="P49" s="276"/>
      <c r="Q49" s="276"/>
      <c r="R49" s="276"/>
      <c r="S49" s="276"/>
      <c r="T49" s="276"/>
      <c r="U49" s="276"/>
      <c r="V49" s="276"/>
      <c r="W49" s="276"/>
      <c r="X49" s="276"/>
      <c r="Y49" s="276"/>
      <c r="Z49" s="276"/>
    </row>
    <row r="50">
      <c r="B50" s="307" t="s">
        <v>626</v>
      </c>
      <c r="C50" s="291" t="s">
        <v>455</v>
      </c>
      <c r="D50" s="277" t="s">
        <v>485</v>
      </c>
      <c r="I50" s="276"/>
      <c r="J50" s="276"/>
      <c r="K50" s="276"/>
      <c r="L50" s="276"/>
      <c r="M50" s="276"/>
      <c r="N50" s="276"/>
      <c r="O50" s="276"/>
      <c r="P50" s="276"/>
      <c r="Q50" s="276"/>
      <c r="R50" s="276"/>
      <c r="S50" s="276"/>
      <c r="T50" s="276"/>
      <c r="U50" s="276"/>
      <c r="V50" s="276"/>
      <c r="W50" s="276"/>
      <c r="X50" s="276"/>
      <c r="Y50" s="276"/>
      <c r="Z50" s="276"/>
    </row>
    <row r="51">
      <c r="B51" s="307" t="s">
        <v>627</v>
      </c>
      <c r="C51" s="291" t="s">
        <v>603</v>
      </c>
      <c r="D51" s="277" t="s">
        <v>572</v>
      </c>
      <c r="I51" s="276"/>
      <c r="J51" s="276"/>
      <c r="K51" s="276"/>
      <c r="L51" s="276"/>
      <c r="M51" s="276"/>
      <c r="N51" s="276"/>
      <c r="O51" s="276"/>
      <c r="P51" s="276"/>
      <c r="Q51" s="276"/>
      <c r="R51" s="276"/>
      <c r="S51" s="276"/>
      <c r="T51" s="276"/>
      <c r="U51" s="276"/>
      <c r="V51" s="276"/>
      <c r="W51" s="276"/>
      <c r="X51" s="276"/>
      <c r="Y51" s="276"/>
      <c r="Z51" s="276"/>
    </row>
    <row r="52">
      <c r="A52" s="289" t="s">
        <v>628</v>
      </c>
      <c r="B52" s="307" t="s">
        <v>629</v>
      </c>
      <c r="C52" s="291" t="s">
        <v>466</v>
      </c>
      <c r="D52" s="291" t="s">
        <v>491</v>
      </c>
      <c r="E52" s="291" t="s">
        <v>630</v>
      </c>
      <c r="F52" s="291" t="s">
        <v>631</v>
      </c>
      <c r="G52" s="291" t="s">
        <v>620</v>
      </c>
      <c r="H52" s="278" t="s">
        <v>632</v>
      </c>
      <c r="I52" s="276"/>
      <c r="J52" s="276"/>
      <c r="K52" s="276"/>
      <c r="L52" s="276"/>
      <c r="M52" s="276"/>
      <c r="N52" s="276"/>
      <c r="O52" s="276"/>
      <c r="P52" s="276"/>
      <c r="Q52" s="276"/>
      <c r="R52" s="276"/>
      <c r="S52" s="276"/>
      <c r="T52" s="276"/>
      <c r="U52" s="276"/>
      <c r="V52" s="276"/>
      <c r="W52" s="276"/>
      <c r="X52" s="276"/>
      <c r="Y52" s="276"/>
      <c r="Z52" s="276"/>
    </row>
    <row r="53">
      <c r="A53" s="292" t="s">
        <v>633</v>
      </c>
      <c r="B53" s="290" t="s">
        <v>633</v>
      </c>
      <c r="C53" s="291" t="s">
        <v>506</v>
      </c>
      <c r="D53" s="277" t="s">
        <v>485</v>
      </c>
      <c r="E53" s="277" t="s">
        <v>634</v>
      </c>
      <c r="F53" s="291" t="s">
        <v>635</v>
      </c>
      <c r="G53" s="291" t="s">
        <v>620</v>
      </c>
      <c r="H53" s="278" t="s">
        <v>636</v>
      </c>
      <c r="I53" s="276"/>
      <c r="J53" s="276"/>
      <c r="K53" s="276"/>
      <c r="L53" s="276"/>
      <c r="M53" s="276"/>
      <c r="N53" s="276"/>
      <c r="O53" s="276"/>
      <c r="P53" s="276"/>
      <c r="Q53" s="276"/>
      <c r="R53" s="276"/>
      <c r="S53" s="276"/>
      <c r="T53" s="276"/>
      <c r="U53" s="276"/>
      <c r="V53" s="276"/>
      <c r="W53" s="276"/>
      <c r="X53" s="276"/>
      <c r="Y53" s="276"/>
      <c r="Z53" s="276"/>
    </row>
    <row r="54">
      <c r="A54" s="289" t="s">
        <v>637</v>
      </c>
      <c r="B54" s="307" t="s">
        <v>637</v>
      </c>
      <c r="C54" s="291" t="s">
        <v>466</v>
      </c>
      <c r="D54" s="291" t="s">
        <v>554</v>
      </c>
      <c r="E54" s="291" t="s">
        <v>638</v>
      </c>
      <c r="F54" s="291" t="s">
        <v>635</v>
      </c>
      <c r="G54" s="291" t="s">
        <v>620</v>
      </c>
      <c r="H54" s="278" t="s">
        <v>639</v>
      </c>
      <c r="I54" s="276"/>
      <c r="J54" s="276"/>
      <c r="K54" s="276"/>
      <c r="L54" s="276"/>
      <c r="M54" s="276"/>
      <c r="N54" s="276"/>
      <c r="O54" s="276"/>
      <c r="P54" s="276"/>
      <c r="Q54" s="276"/>
      <c r="R54" s="276"/>
      <c r="S54" s="276"/>
      <c r="T54" s="276"/>
      <c r="U54" s="276"/>
      <c r="V54" s="276"/>
      <c r="W54" s="276"/>
      <c r="X54" s="276"/>
      <c r="Y54" s="276"/>
      <c r="Z54" s="276"/>
    </row>
    <row r="55">
      <c r="A55" s="289" t="s">
        <v>640</v>
      </c>
      <c r="B55" s="307" t="s">
        <v>641</v>
      </c>
      <c r="C55" s="291" t="s">
        <v>462</v>
      </c>
      <c r="D55" s="291" t="s">
        <v>642</v>
      </c>
      <c r="E55" s="291" t="s">
        <v>643</v>
      </c>
      <c r="F55" s="291" t="s">
        <v>635</v>
      </c>
      <c r="G55" s="291" t="s">
        <v>620</v>
      </c>
      <c r="H55" s="278" t="s">
        <v>644</v>
      </c>
      <c r="I55" s="276"/>
      <c r="J55" s="276"/>
      <c r="K55" s="276"/>
      <c r="L55" s="276"/>
      <c r="M55" s="276"/>
      <c r="N55" s="276"/>
      <c r="O55" s="276"/>
      <c r="P55" s="276"/>
      <c r="Q55" s="276"/>
      <c r="R55" s="276"/>
      <c r="S55" s="276"/>
      <c r="T55" s="276"/>
      <c r="U55" s="276"/>
      <c r="V55" s="276"/>
      <c r="W55" s="276"/>
      <c r="X55" s="276"/>
      <c r="Y55" s="276"/>
      <c r="Z55" s="276"/>
    </row>
    <row r="56">
      <c r="B56" s="307" t="s">
        <v>645</v>
      </c>
      <c r="C56" s="291" t="s">
        <v>646</v>
      </c>
      <c r="I56" s="276"/>
      <c r="J56" s="276"/>
      <c r="K56" s="276"/>
      <c r="L56" s="276"/>
      <c r="M56" s="276"/>
      <c r="N56" s="276"/>
      <c r="O56" s="276"/>
      <c r="P56" s="276"/>
      <c r="Q56" s="276"/>
      <c r="R56" s="276"/>
      <c r="S56" s="276"/>
      <c r="T56" s="276"/>
      <c r="U56" s="276"/>
      <c r="V56" s="276"/>
      <c r="W56" s="276"/>
      <c r="X56" s="276"/>
      <c r="Y56" s="276"/>
      <c r="Z56" s="276"/>
    </row>
    <row r="57">
      <c r="B57" s="307" t="s">
        <v>647</v>
      </c>
      <c r="C57" s="277">
        <v>17.0</v>
      </c>
      <c r="I57" s="276"/>
      <c r="J57" s="276"/>
      <c r="K57" s="276"/>
      <c r="L57" s="276"/>
      <c r="M57" s="276"/>
      <c r="N57" s="276"/>
      <c r="O57" s="276"/>
      <c r="P57" s="276"/>
      <c r="Q57" s="276"/>
      <c r="R57" s="276"/>
      <c r="S57" s="276"/>
      <c r="T57" s="276"/>
      <c r="U57" s="276"/>
      <c r="V57" s="276"/>
      <c r="W57" s="276"/>
      <c r="X57" s="276"/>
      <c r="Y57" s="276"/>
      <c r="Z57" s="276"/>
    </row>
    <row r="58">
      <c r="A58" s="285" t="s">
        <v>648</v>
      </c>
      <c r="B58" s="286" t="s">
        <v>649</v>
      </c>
      <c r="C58" s="287" t="s">
        <v>464</v>
      </c>
      <c r="D58" s="309" t="s">
        <v>650</v>
      </c>
      <c r="E58" s="287" t="s">
        <v>651</v>
      </c>
      <c r="F58" s="287" t="s">
        <v>534</v>
      </c>
      <c r="G58" s="287" t="s">
        <v>620</v>
      </c>
      <c r="H58" s="310" t="s">
        <v>652</v>
      </c>
      <c r="I58" s="276"/>
      <c r="J58" s="276"/>
      <c r="K58" s="276"/>
      <c r="L58" s="276"/>
      <c r="M58" s="276"/>
      <c r="N58" s="276"/>
      <c r="O58" s="276"/>
      <c r="P58" s="276"/>
      <c r="Q58" s="276"/>
      <c r="R58" s="276"/>
      <c r="S58" s="276"/>
      <c r="T58" s="276"/>
      <c r="U58" s="276"/>
      <c r="V58" s="276"/>
      <c r="W58" s="276"/>
      <c r="X58" s="276"/>
      <c r="Y58" s="276"/>
      <c r="Z58" s="276"/>
    </row>
    <row r="59">
      <c r="B59" s="286" t="s">
        <v>653</v>
      </c>
      <c r="C59" s="287" t="s">
        <v>564</v>
      </c>
      <c r="I59" s="276"/>
      <c r="J59" s="276"/>
      <c r="K59" s="276"/>
      <c r="L59" s="276"/>
      <c r="M59" s="276"/>
      <c r="N59" s="276"/>
      <c r="O59" s="276"/>
      <c r="P59" s="276"/>
      <c r="Q59" s="276"/>
      <c r="R59" s="276"/>
      <c r="S59" s="276"/>
      <c r="T59" s="276"/>
      <c r="U59" s="276"/>
      <c r="V59" s="276"/>
      <c r="W59" s="276"/>
      <c r="X59" s="276"/>
      <c r="Y59" s="276"/>
      <c r="Z59" s="276"/>
    </row>
    <row r="60">
      <c r="B60" s="286" t="s">
        <v>654</v>
      </c>
      <c r="C60" s="287" t="s">
        <v>655</v>
      </c>
      <c r="I60" s="276"/>
      <c r="J60" s="276"/>
      <c r="K60" s="276"/>
      <c r="L60" s="276"/>
      <c r="M60" s="276"/>
      <c r="N60" s="276"/>
      <c r="O60" s="276"/>
      <c r="P60" s="276"/>
      <c r="Q60" s="276"/>
      <c r="R60" s="276"/>
      <c r="S60" s="276"/>
      <c r="T60" s="276"/>
      <c r="U60" s="276"/>
      <c r="V60" s="276"/>
      <c r="W60" s="276"/>
      <c r="X60" s="276"/>
      <c r="Y60" s="276"/>
      <c r="Z60" s="276"/>
    </row>
    <row r="61">
      <c r="A61" s="289" t="s">
        <v>656</v>
      </c>
      <c r="B61" s="307" t="s">
        <v>657</v>
      </c>
      <c r="C61" s="291" t="s">
        <v>551</v>
      </c>
      <c r="D61" s="277" t="s">
        <v>501</v>
      </c>
      <c r="E61" s="291" t="s">
        <v>658</v>
      </c>
      <c r="F61" s="291" t="s">
        <v>659</v>
      </c>
      <c r="G61" s="291" t="s">
        <v>529</v>
      </c>
      <c r="H61" s="279" t="s">
        <v>660</v>
      </c>
      <c r="I61" s="276"/>
      <c r="J61" s="276"/>
      <c r="K61" s="276"/>
      <c r="L61" s="276"/>
      <c r="M61" s="276"/>
      <c r="N61" s="276"/>
      <c r="O61" s="276"/>
      <c r="P61" s="276"/>
      <c r="Q61" s="276"/>
      <c r="R61" s="276"/>
      <c r="S61" s="276"/>
      <c r="T61" s="276"/>
      <c r="U61" s="276"/>
      <c r="V61" s="276"/>
      <c r="W61" s="276"/>
      <c r="X61" s="276"/>
      <c r="Y61" s="276"/>
      <c r="Z61" s="276"/>
    </row>
    <row r="62">
      <c r="B62" s="307" t="s">
        <v>661</v>
      </c>
      <c r="C62" s="291" t="s">
        <v>655</v>
      </c>
      <c r="I62" s="276"/>
      <c r="J62" s="276"/>
      <c r="K62" s="276"/>
      <c r="L62" s="276"/>
      <c r="M62" s="276"/>
      <c r="N62" s="276"/>
      <c r="O62" s="276"/>
      <c r="P62" s="276"/>
      <c r="Q62" s="276"/>
      <c r="R62" s="276"/>
      <c r="S62" s="276"/>
      <c r="T62" s="276"/>
      <c r="U62" s="276"/>
      <c r="V62" s="276"/>
      <c r="W62" s="276"/>
      <c r="X62" s="276"/>
      <c r="Y62" s="276"/>
      <c r="Z62" s="276"/>
    </row>
    <row r="63">
      <c r="A63" s="311" t="s">
        <v>662</v>
      </c>
      <c r="B63" s="298" t="s">
        <v>663</v>
      </c>
      <c r="C63" s="295" t="s">
        <v>455</v>
      </c>
      <c r="D63" s="296" t="s">
        <v>456</v>
      </c>
      <c r="E63" s="295" t="s">
        <v>664</v>
      </c>
      <c r="F63" s="295" t="s">
        <v>665</v>
      </c>
      <c r="G63" s="295" t="s">
        <v>529</v>
      </c>
      <c r="H63" s="297" t="s">
        <v>666</v>
      </c>
      <c r="I63" s="276"/>
      <c r="J63" s="276"/>
      <c r="K63" s="276"/>
      <c r="L63" s="276"/>
      <c r="M63" s="276"/>
      <c r="N63" s="276"/>
      <c r="O63" s="276"/>
      <c r="P63" s="276"/>
      <c r="Q63" s="276"/>
      <c r="R63" s="276"/>
      <c r="S63" s="276"/>
      <c r="T63" s="276"/>
      <c r="U63" s="276"/>
      <c r="V63" s="276"/>
      <c r="W63" s="276"/>
      <c r="X63" s="276"/>
      <c r="Y63" s="276"/>
      <c r="Z63" s="276"/>
    </row>
    <row r="64">
      <c r="B64" s="298" t="s">
        <v>667</v>
      </c>
      <c r="C64" s="295" t="s">
        <v>462</v>
      </c>
      <c r="D64" s="296" t="s">
        <v>456</v>
      </c>
      <c r="I64" s="276"/>
      <c r="J64" s="276"/>
      <c r="K64" s="276"/>
      <c r="L64" s="276"/>
      <c r="M64" s="276"/>
      <c r="N64" s="276"/>
      <c r="O64" s="276"/>
      <c r="P64" s="276"/>
      <c r="Q64" s="276"/>
      <c r="R64" s="276"/>
      <c r="S64" s="276"/>
      <c r="T64" s="276"/>
      <c r="U64" s="276"/>
      <c r="V64" s="276"/>
      <c r="W64" s="276"/>
      <c r="X64" s="276"/>
      <c r="Y64" s="276"/>
      <c r="Z64" s="276"/>
    </row>
    <row r="65">
      <c r="B65" s="298" t="s">
        <v>668</v>
      </c>
      <c r="C65" s="295" t="s">
        <v>466</v>
      </c>
      <c r="D65" s="296" t="s">
        <v>572</v>
      </c>
      <c r="I65" s="276"/>
      <c r="J65" s="276"/>
      <c r="K65" s="276"/>
      <c r="L65" s="276"/>
      <c r="M65" s="276"/>
      <c r="N65" s="276"/>
      <c r="O65" s="276"/>
      <c r="P65" s="276"/>
      <c r="Q65" s="276"/>
      <c r="R65" s="276"/>
      <c r="S65" s="276"/>
      <c r="T65" s="276"/>
      <c r="U65" s="276"/>
      <c r="V65" s="276"/>
      <c r="W65" s="276"/>
      <c r="X65" s="276"/>
      <c r="Y65" s="276"/>
      <c r="Z65" s="276"/>
    </row>
    <row r="66">
      <c r="A66" s="289" t="s">
        <v>669</v>
      </c>
      <c r="B66" s="307" t="s">
        <v>670</v>
      </c>
      <c r="C66" s="291" t="s">
        <v>671</v>
      </c>
      <c r="D66" s="291" t="s">
        <v>566</v>
      </c>
      <c r="E66" s="291" t="s">
        <v>669</v>
      </c>
      <c r="F66" s="291" t="s">
        <v>672</v>
      </c>
      <c r="G66" s="291" t="s">
        <v>620</v>
      </c>
      <c r="H66" s="279" t="s">
        <v>673</v>
      </c>
      <c r="I66" s="276"/>
      <c r="J66" s="276"/>
      <c r="K66" s="276"/>
      <c r="L66" s="276"/>
      <c r="M66" s="276"/>
      <c r="N66" s="276"/>
      <c r="O66" s="276"/>
      <c r="P66" s="276"/>
      <c r="Q66" s="276"/>
      <c r="R66" s="276"/>
      <c r="S66" s="276"/>
      <c r="T66" s="276"/>
      <c r="U66" s="276"/>
      <c r="V66" s="276"/>
      <c r="W66" s="276"/>
      <c r="X66" s="276"/>
      <c r="Y66" s="276"/>
      <c r="Z66" s="276"/>
    </row>
    <row r="67">
      <c r="A67" s="289" t="s">
        <v>674</v>
      </c>
      <c r="B67" s="307" t="s">
        <v>675</v>
      </c>
      <c r="C67" s="291" t="s">
        <v>655</v>
      </c>
      <c r="D67" s="291" t="s">
        <v>566</v>
      </c>
      <c r="E67" s="291" t="s">
        <v>674</v>
      </c>
      <c r="F67" s="291" t="s">
        <v>672</v>
      </c>
      <c r="G67" s="291" t="s">
        <v>620</v>
      </c>
      <c r="H67" s="278" t="s">
        <v>676</v>
      </c>
      <c r="I67" s="276"/>
      <c r="J67" s="276"/>
      <c r="K67" s="276"/>
      <c r="L67" s="276"/>
      <c r="M67" s="276"/>
      <c r="N67" s="276"/>
      <c r="O67" s="276"/>
      <c r="P67" s="276"/>
      <c r="Q67" s="276"/>
      <c r="R67" s="276"/>
      <c r="S67" s="276"/>
      <c r="T67" s="276"/>
      <c r="U67" s="276"/>
      <c r="V67" s="276"/>
      <c r="W67" s="276"/>
      <c r="X67" s="276"/>
      <c r="Y67" s="276"/>
      <c r="Z67" s="276"/>
    </row>
    <row r="68">
      <c r="A68" s="289" t="s">
        <v>677</v>
      </c>
      <c r="B68" s="307" t="s">
        <v>678</v>
      </c>
      <c r="C68" s="291" t="s">
        <v>679</v>
      </c>
      <c r="D68" s="291" t="s">
        <v>566</v>
      </c>
      <c r="E68" s="277" t="s">
        <v>680</v>
      </c>
      <c r="F68" s="291" t="s">
        <v>672</v>
      </c>
      <c r="G68" s="291" t="s">
        <v>620</v>
      </c>
      <c r="H68" s="278" t="s">
        <v>681</v>
      </c>
      <c r="I68" s="276"/>
      <c r="J68" s="276"/>
      <c r="K68" s="276"/>
      <c r="L68" s="276"/>
      <c r="M68" s="276"/>
      <c r="N68" s="276"/>
      <c r="O68" s="276"/>
      <c r="P68" s="276"/>
      <c r="Q68" s="276"/>
      <c r="R68" s="276"/>
      <c r="S68" s="276"/>
      <c r="T68" s="276"/>
      <c r="U68" s="276"/>
      <c r="V68" s="276"/>
      <c r="W68" s="276"/>
      <c r="X68" s="276"/>
      <c r="Y68" s="276"/>
      <c r="Z68" s="276"/>
    </row>
    <row r="69">
      <c r="A69" s="289" t="s">
        <v>682</v>
      </c>
      <c r="B69" s="307" t="s">
        <v>683</v>
      </c>
      <c r="C69" s="291" t="s">
        <v>512</v>
      </c>
      <c r="D69" s="291" t="s">
        <v>491</v>
      </c>
      <c r="E69" s="291" t="s">
        <v>684</v>
      </c>
      <c r="F69" s="291" t="s">
        <v>685</v>
      </c>
      <c r="G69" s="291" t="s">
        <v>686</v>
      </c>
      <c r="H69" s="279" t="s">
        <v>687</v>
      </c>
      <c r="I69" s="276"/>
      <c r="J69" s="276"/>
      <c r="K69" s="276"/>
      <c r="L69" s="276"/>
      <c r="M69" s="276"/>
      <c r="N69" s="276"/>
      <c r="O69" s="276"/>
      <c r="P69" s="276"/>
      <c r="Q69" s="276"/>
      <c r="R69" s="276"/>
      <c r="S69" s="276"/>
      <c r="T69" s="276"/>
      <c r="U69" s="276"/>
      <c r="V69" s="276"/>
      <c r="W69" s="276"/>
      <c r="X69" s="276"/>
      <c r="Y69" s="276"/>
      <c r="Z69" s="276"/>
    </row>
    <row r="70">
      <c r="A70" s="292" t="s">
        <v>688</v>
      </c>
      <c r="B70" s="290" t="s">
        <v>689</v>
      </c>
      <c r="C70" s="291" t="s">
        <v>546</v>
      </c>
      <c r="D70" s="291" t="s">
        <v>554</v>
      </c>
      <c r="E70" s="277" t="s">
        <v>690</v>
      </c>
      <c r="F70" s="291" t="s">
        <v>619</v>
      </c>
      <c r="G70" s="291" t="s">
        <v>686</v>
      </c>
      <c r="H70" s="278" t="s">
        <v>691</v>
      </c>
      <c r="I70" s="276"/>
      <c r="J70" s="276"/>
      <c r="K70" s="276"/>
      <c r="L70" s="276"/>
      <c r="M70" s="276"/>
      <c r="N70" s="276"/>
      <c r="O70" s="276"/>
      <c r="P70" s="276"/>
      <c r="Q70" s="276"/>
      <c r="R70" s="276"/>
      <c r="S70" s="276"/>
      <c r="T70" s="276"/>
      <c r="U70" s="276"/>
      <c r="V70" s="276"/>
      <c r="W70" s="276"/>
      <c r="X70" s="276"/>
      <c r="Y70" s="276"/>
      <c r="Z70" s="276"/>
    </row>
    <row r="71">
      <c r="B71" s="313" t="s">
        <v>692</v>
      </c>
      <c r="C71" s="291" t="s">
        <v>455</v>
      </c>
      <c r="D71" s="291" t="s">
        <v>491</v>
      </c>
      <c r="I71" s="276"/>
      <c r="J71" s="276"/>
      <c r="K71" s="276"/>
      <c r="L71" s="276"/>
      <c r="M71" s="276"/>
      <c r="N71" s="276"/>
      <c r="O71" s="276"/>
      <c r="P71" s="276"/>
      <c r="Q71" s="276"/>
      <c r="R71" s="276"/>
      <c r="S71" s="276"/>
      <c r="T71" s="276"/>
      <c r="U71" s="276"/>
      <c r="V71" s="276"/>
      <c r="W71" s="276"/>
      <c r="X71" s="276"/>
      <c r="Y71" s="276"/>
      <c r="Z71" s="276"/>
    </row>
    <row r="72">
      <c r="B72" s="290" t="s">
        <v>693</v>
      </c>
      <c r="C72" s="291" t="s">
        <v>551</v>
      </c>
      <c r="D72" s="291" t="s">
        <v>554</v>
      </c>
      <c r="I72" s="276"/>
      <c r="J72" s="276"/>
      <c r="K72" s="276"/>
      <c r="L72" s="276"/>
      <c r="M72" s="276"/>
      <c r="N72" s="276"/>
      <c r="O72" s="276"/>
      <c r="P72" s="276"/>
      <c r="Q72" s="276"/>
      <c r="R72" s="276"/>
      <c r="S72" s="276"/>
      <c r="T72" s="276"/>
      <c r="U72" s="276"/>
      <c r="V72" s="276"/>
      <c r="W72" s="276"/>
      <c r="X72" s="276"/>
      <c r="Y72" s="276"/>
      <c r="Z72" s="276"/>
    </row>
    <row r="73">
      <c r="A73" s="289" t="s">
        <v>694</v>
      </c>
      <c r="B73" s="307" t="s">
        <v>695</v>
      </c>
      <c r="C73" s="291" t="s">
        <v>466</v>
      </c>
      <c r="D73" s="291" t="s">
        <v>526</v>
      </c>
      <c r="E73" s="291" t="s">
        <v>696</v>
      </c>
      <c r="F73" s="291" t="s">
        <v>619</v>
      </c>
      <c r="G73" s="291" t="s">
        <v>686</v>
      </c>
      <c r="H73" s="279" t="s">
        <v>697</v>
      </c>
      <c r="I73" s="276"/>
      <c r="J73" s="276"/>
      <c r="K73" s="276"/>
      <c r="L73" s="276"/>
      <c r="M73" s="276"/>
      <c r="N73" s="276"/>
      <c r="O73" s="276"/>
      <c r="P73" s="276"/>
      <c r="Q73" s="276"/>
      <c r="R73" s="276"/>
      <c r="S73" s="276"/>
      <c r="T73" s="276"/>
      <c r="U73" s="276"/>
      <c r="V73" s="276"/>
      <c r="W73" s="276"/>
      <c r="X73" s="276"/>
      <c r="Y73" s="276"/>
      <c r="Z73" s="276"/>
    </row>
    <row r="74">
      <c r="A74" s="289" t="s">
        <v>698</v>
      </c>
      <c r="B74" s="307" t="s">
        <v>699</v>
      </c>
      <c r="C74" s="291" t="s">
        <v>546</v>
      </c>
      <c r="D74" s="291" t="s">
        <v>554</v>
      </c>
      <c r="E74" s="291" t="s">
        <v>700</v>
      </c>
      <c r="F74" s="291" t="s">
        <v>619</v>
      </c>
      <c r="G74" s="291" t="s">
        <v>686</v>
      </c>
      <c r="H74" s="279" t="s">
        <v>701</v>
      </c>
      <c r="I74" s="276"/>
      <c r="J74" s="276"/>
      <c r="K74" s="276"/>
      <c r="L74" s="276"/>
      <c r="M74" s="276"/>
      <c r="N74" s="276"/>
      <c r="O74" s="276"/>
      <c r="P74" s="276"/>
      <c r="Q74" s="276"/>
      <c r="R74" s="276"/>
      <c r="S74" s="276"/>
      <c r="T74" s="276"/>
      <c r="U74" s="276"/>
      <c r="V74" s="276"/>
      <c r="W74" s="276"/>
      <c r="X74" s="276"/>
      <c r="Y74" s="276"/>
      <c r="Z74" s="276"/>
    </row>
    <row r="75" ht="28.5" customHeight="1">
      <c r="B75" s="307" t="s">
        <v>702</v>
      </c>
      <c r="C75" s="291" t="s">
        <v>646</v>
      </c>
      <c r="I75" s="276"/>
      <c r="J75" s="276"/>
      <c r="K75" s="276"/>
      <c r="L75" s="276"/>
      <c r="M75" s="276"/>
      <c r="N75" s="276"/>
      <c r="O75" s="276"/>
      <c r="P75" s="276"/>
      <c r="Q75" s="276"/>
      <c r="R75" s="276"/>
      <c r="S75" s="276"/>
      <c r="T75" s="276"/>
      <c r="U75" s="276"/>
      <c r="V75" s="276"/>
      <c r="W75" s="276"/>
      <c r="X75" s="276"/>
      <c r="Y75" s="276"/>
      <c r="Z75" s="276"/>
    </row>
    <row r="76">
      <c r="A76" s="289" t="s">
        <v>703</v>
      </c>
      <c r="B76" s="307" t="s">
        <v>704</v>
      </c>
      <c r="C76" s="291" t="s">
        <v>546</v>
      </c>
      <c r="D76" s="291" t="s">
        <v>554</v>
      </c>
      <c r="E76" s="291" t="s">
        <v>705</v>
      </c>
      <c r="F76" s="291" t="s">
        <v>706</v>
      </c>
      <c r="G76" s="291" t="s">
        <v>686</v>
      </c>
      <c r="H76" s="279" t="s">
        <v>707</v>
      </c>
      <c r="I76" s="276"/>
      <c r="J76" s="276"/>
      <c r="K76" s="276"/>
      <c r="L76" s="276"/>
      <c r="M76" s="276"/>
      <c r="N76" s="276"/>
      <c r="O76" s="276"/>
      <c r="P76" s="276"/>
      <c r="Q76" s="276"/>
      <c r="R76" s="276"/>
      <c r="S76" s="276"/>
      <c r="T76" s="276"/>
      <c r="U76" s="276"/>
      <c r="V76" s="276"/>
      <c r="W76" s="276"/>
      <c r="X76" s="276"/>
      <c r="Y76" s="276"/>
      <c r="Z76" s="276"/>
    </row>
    <row r="77">
      <c r="B77" s="307" t="s">
        <v>708</v>
      </c>
      <c r="C77" s="291" t="s">
        <v>455</v>
      </c>
      <c r="I77" s="276"/>
      <c r="J77" s="276"/>
      <c r="K77" s="276"/>
      <c r="L77" s="276"/>
      <c r="M77" s="276"/>
      <c r="N77" s="276"/>
      <c r="O77" s="276"/>
      <c r="P77" s="276"/>
      <c r="Q77" s="276"/>
      <c r="R77" s="276"/>
      <c r="S77" s="276"/>
      <c r="T77" s="276"/>
      <c r="U77" s="276"/>
      <c r="V77" s="276"/>
      <c r="W77" s="276"/>
      <c r="X77" s="276"/>
      <c r="Y77" s="276"/>
      <c r="Z77" s="276"/>
    </row>
    <row r="78">
      <c r="B78" s="307" t="s">
        <v>709</v>
      </c>
      <c r="C78" s="291" t="s">
        <v>551</v>
      </c>
      <c r="I78" s="276"/>
      <c r="J78" s="276"/>
      <c r="K78" s="276"/>
      <c r="L78" s="276"/>
      <c r="M78" s="276"/>
      <c r="N78" s="276"/>
      <c r="O78" s="276"/>
      <c r="P78" s="276"/>
      <c r="Q78" s="276"/>
      <c r="R78" s="276"/>
      <c r="S78" s="276"/>
      <c r="T78" s="276"/>
      <c r="U78" s="276"/>
      <c r="V78" s="276"/>
      <c r="W78" s="276"/>
      <c r="X78" s="276"/>
      <c r="Y78" s="276"/>
      <c r="Z78" s="276"/>
    </row>
    <row r="79">
      <c r="B79" s="307" t="s">
        <v>710</v>
      </c>
      <c r="C79" s="291" t="s">
        <v>564</v>
      </c>
      <c r="I79" s="276"/>
      <c r="J79" s="276"/>
      <c r="K79" s="276"/>
      <c r="L79" s="276"/>
      <c r="M79" s="276"/>
      <c r="N79" s="276"/>
      <c r="O79" s="276"/>
      <c r="P79" s="276"/>
      <c r="Q79" s="276"/>
      <c r="R79" s="276"/>
      <c r="S79" s="276"/>
      <c r="T79" s="276"/>
      <c r="U79" s="276"/>
      <c r="V79" s="276"/>
      <c r="W79" s="276"/>
      <c r="X79" s="276"/>
      <c r="Y79" s="276"/>
      <c r="Z79" s="276"/>
    </row>
    <row r="80">
      <c r="B80" s="307" t="s">
        <v>711</v>
      </c>
      <c r="C80" s="291" t="s">
        <v>466</v>
      </c>
      <c r="I80" s="276"/>
      <c r="J80" s="276"/>
      <c r="K80" s="276"/>
      <c r="L80" s="276"/>
      <c r="M80" s="276"/>
      <c r="N80" s="276"/>
      <c r="O80" s="276"/>
      <c r="P80" s="276"/>
      <c r="Q80" s="276"/>
      <c r="R80" s="276"/>
      <c r="S80" s="276"/>
      <c r="T80" s="276"/>
      <c r="U80" s="276"/>
      <c r="V80" s="276"/>
      <c r="W80" s="276"/>
      <c r="X80" s="276"/>
      <c r="Y80" s="276"/>
      <c r="Z80" s="276"/>
    </row>
    <row r="81">
      <c r="A81" s="289" t="s">
        <v>712</v>
      </c>
      <c r="B81" s="307" t="s">
        <v>713</v>
      </c>
      <c r="C81" s="291" t="s">
        <v>714</v>
      </c>
      <c r="D81" s="291" t="s">
        <v>491</v>
      </c>
      <c r="E81" s="291" t="s">
        <v>715</v>
      </c>
      <c r="F81" s="291" t="s">
        <v>716</v>
      </c>
      <c r="G81" s="291" t="s">
        <v>686</v>
      </c>
      <c r="H81" s="278" t="s">
        <v>717</v>
      </c>
      <c r="I81" s="276"/>
      <c r="J81" s="276"/>
      <c r="K81" s="276"/>
      <c r="L81" s="276"/>
      <c r="M81" s="276"/>
      <c r="N81" s="276"/>
      <c r="O81" s="276"/>
      <c r="P81" s="276"/>
      <c r="Q81" s="276"/>
      <c r="R81" s="276"/>
      <c r="S81" s="276"/>
      <c r="T81" s="276"/>
      <c r="U81" s="276"/>
      <c r="V81" s="276"/>
      <c r="W81" s="276"/>
      <c r="X81" s="276"/>
      <c r="Y81" s="276"/>
      <c r="Z81" s="276"/>
    </row>
    <row r="82">
      <c r="B82" s="307" t="s">
        <v>718</v>
      </c>
      <c r="I82" s="276"/>
      <c r="J82" s="276"/>
      <c r="K82" s="276"/>
      <c r="L82" s="276"/>
      <c r="M82" s="276"/>
      <c r="N82" s="276"/>
      <c r="O82" s="276"/>
      <c r="P82" s="276"/>
      <c r="Q82" s="276"/>
      <c r="R82" s="276"/>
      <c r="S82" s="276"/>
      <c r="T82" s="276"/>
      <c r="U82" s="276"/>
      <c r="V82" s="276"/>
      <c r="W82" s="276"/>
      <c r="X82" s="276"/>
      <c r="Y82" s="276"/>
      <c r="Z82" s="276"/>
    </row>
    <row r="83">
      <c r="B83" s="307" t="s">
        <v>719</v>
      </c>
      <c r="I83" s="276"/>
      <c r="J83" s="276"/>
      <c r="K83" s="276"/>
      <c r="L83" s="276"/>
      <c r="M83" s="276"/>
      <c r="N83" s="276"/>
      <c r="O83" s="276"/>
      <c r="P83" s="276"/>
      <c r="Q83" s="276"/>
      <c r="R83" s="276"/>
      <c r="S83" s="276"/>
      <c r="T83" s="276"/>
      <c r="U83" s="276"/>
      <c r="V83" s="276"/>
      <c r="W83" s="276"/>
      <c r="X83" s="276"/>
      <c r="Y83" s="276"/>
      <c r="Z83" s="276"/>
    </row>
    <row r="84">
      <c r="B84" s="290" t="s">
        <v>720</v>
      </c>
      <c r="I84" s="276"/>
      <c r="J84" s="276"/>
      <c r="K84" s="276"/>
      <c r="L84" s="276"/>
      <c r="M84" s="276"/>
      <c r="N84" s="276"/>
      <c r="O84" s="276"/>
      <c r="P84" s="276"/>
      <c r="Q84" s="276"/>
      <c r="R84" s="276"/>
      <c r="S84" s="276"/>
      <c r="T84" s="276"/>
      <c r="U84" s="276"/>
      <c r="V84" s="276"/>
      <c r="W84" s="276"/>
      <c r="X84" s="276"/>
      <c r="Y84" s="276"/>
      <c r="Z84" s="276"/>
    </row>
    <row r="85">
      <c r="B85" s="290" t="s">
        <v>721</v>
      </c>
      <c r="I85" s="276"/>
      <c r="J85" s="276"/>
      <c r="K85" s="276"/>
      <c r="L85" s="276"/>
      <c r="M85" s="276"/>
      <c r="N85" s="276"/>
      <c r="O85" s="276"/>
      <c r="P85" s="276"/>
      <c r="Q85" s="276"/>
      <c r="R85" s="276"/>
      <c r="S85" s="276"/>
      <c r="T85" s="276"/>
      <c r="U85" s="276"/>
      <c r="V85" s="276"/>
      <c r="W85" s="276"/>
      <c r="X85" s="276"/>
      <c r="Y85" s="276"/>
      <c r="Z85" s="276"/>
    </row>
    <row r="86">
      <c r="B86" s="307" t="s">
        <v>722</v>
      </c>
      <c r="I86" s="276"/>
      <c r="J86" s="276"/>
      <c r="K86" s="276"/>
      <c r="L86" s="276"/>
      <c r="M86" s="276"/>
      <c r="N86" s="276"/>
      <c r="O86" s="276"/>
      <c r="P86" s="276"/>
      <c r="Q86" s="276"/>
      <c r="R86" s="276"/>
      <c r="S86" s="276"/>
      <c r="T86" s="276"/>
      <c r="U86" s="276"/>
      <c r="V86" s="276"/>
      <c r="W86" s="276"/>
      <c r="X86" s="276"/>
      <c r="Y86" s="276"/>
      <c r="Z86" s="276"/>
    </row>
    <row r="87">
      <c r="A87" s="289" t="s">
        <v>723</v>
      </c>
      <c r="B87" s="307" t="s">
        <v>724</v>
      </c>
      <c r="C87" s="291" t="s">
        <v>512</v>
      </c>
      <c r="D87" s="291" t="s">
        <v>526</v>
      </c>
      <c r="E87" s="277" t="s">
        <v>725</v>
      </c>
      <c r="F87" s="277" t="s">
        <v>726</v>
      </c>
      <c r="G87" s="291" t="s">
        <v>686</v>
      </c>
      <c r="H87" s="278" t="s">
        <v>727</v>
      </c>
      <c r="I87" s="276"/>
      <c r="J87" s="276"/>
      <c r="K87" s="276"/>
      <c r="L87" s="276"/>
      <c r="M87" s="276"/>
      <c r="N87" s="276"/>
      <c r="O87" s="276"/>
      <c r="P87" s="276"/>
      <c r="Q87" s="276"/>
      <c r="R87" s="276"/>
      <c r="S87" s="276"/>
      <c r="T87" s="276"/>
      <c r="U87" s="276"/>
      <c r="V87" s="276"/>
      <c r="W87" s="276"/>
      <c r="X87" s="276"/>
      <c r="Y87" s="276"/>
      <c r="Z87" s="276"/>
    </row>
    <row r="88">
      <c r="A88" s="289" t="s">
        <v>728</v>
      </c>
      <c r="B88" s="307" t="s">
        <v>729</v>
      </c>
      <c r="C88" s="291" t="s">
        <v>455</v>
      </c>
      <c r="D88" s="277" t="s">
        <v>456</v>
      </c>
      <c r="E88" s="291" t="s">
        <v>696</v>
      </c>
      <c r="F88" s="291" t="s">
        <v>619</v>
      </c>
      <c r="G88" s="291" t="s">
        <v>730</v>
      </c>
      <c r="H88" s="279" t="s">
        <v>731</v>
      </c>
      <c r="I88" s="276"/>
      <c r="J88" s="276"/>
      <c r="K88" s="276"/>
      <c r="L88" s="276"/>
      <c r="M88" s="276"/>
      <c r="N88" s="276"/>
      <c r="O88" s="276"/>
      <c r="P88" s="276"/>
      <c r="Q88" s="276"/>
      <c r="R88" s="276"/>
      <c r="S88" s="276"/>
      <c r="T88" s="276"/>
      <c r="U88" s="276"/>
      <c r="V88" s="276"/>
      <c r="W88" s="276"/>
      <c r="X88" s="276"/>
      <c r="Y88" s="276"/>
      <c r="Z88" s="276"/>
    </row>
    <row r="89">
      <c r="B89" s="307" t="s">
        <v>732</v>
      </c>
      <c r="C89" s="291" t="s">
        <v>464</v>
      </c>
      <c r="D89" s="277" t="s">
        <v>456</v>
      </c>
      <c r="I89" s="276"/>
      <c r="J89" s="276"/>
      <c r="K89" s="276"/>
      <c r="L89" s="276"/>
      <c r="M89" s="276"/>
      <c r="N89" s="276"/>
      <c r="O89" s="276"/>
      <c r="P89" s="276"/>
      <c r="Q89" s="276"/>
      <c r="R89" s="276"/>
      <c r="S89" s="276"/>
      <c r="T89" s="276"/>
      <c r="U89" s="276"/>
      <c r="V89" s="276"/>
      <c r="W89" s="276"/>
      <c r="X89" s="276"/>
      <c r="Y89" s="276"/>
      <c r="Z89" s="276"/>
    </row>
    <row r="90">
      <c r="A90" s="289" t="s">
        <v>733</v>
      </c>
      <c r="B90" s="307" t="s">
        <v>733</v>
      </c>
      <c r="C90" s="291" t="s">
        <v>512</v>
      </c>
      <c r="D90" s="291" t="s">
        <v>734</v>
      </c>
      <c r="E90" s="291" t="s">
        <v>735</v>
      </c>
      <c r="F90" s="291" t="s">
        <v>619</v>
      </c>
      <c r="G90" s="291" t="s">
        <v>730</v>
      </c>
      <c r="H90" s="279" t="s">
        <v>736</v>
      </c>
      <c r="I90" s="276"/>
      <c r="J90" s="276"/>
      <c r="K90" s="276"/>
      <c r="L90" s="276"/>
      <c r="M90" s="276"/>
      <c r="N90" s="276"/>
      <c r="O90" s="276"/>
      <c r="P90" s="276"/>
      <c r="Q90" s="276"/>
      <c r="R90" s="276"/>
      <c r="S90" s="276"/>
      <c r="T90" s="276"/>
      <c r="U90" s="276"/>
      <c r="V90" s="276"/>
      <c r="W90" s="276"/>
      <c r="X90" s="276"/>
      <c r="Y90" s="276"/>
      <c r="Z90" s="276"/>
    </row>
    <row r="91">
      <c r="B91" s="307" t="s">
        <v>737</v>
      </c>
      <c r="C91" s="291" t="s">
        <v>564</v>
      </c>
      <c r="D91" s="291" t="s">
        <v>734</v>
      </c>
      <c r="I91" s="276"/>
      <c r="J91" s="276"/>
      <c r="K91" s="276"/>
      <c r="L91" s="276"/>
      <c r="M91" s="276"/>
      <c r="N91" s="276"/>
      <c r="O91" s="276"/>
      <c r="P91" s="276"/>
      <c r="Q91" s="276"/>
      <c r="R91" s="276"/>
      <c r="S91" s="276"/>
      <c r="T91" s="276"/>
      <c r="U91" s="276"/>
      <c r="V91" s="276"/>
      <c r="W91" s="276"/>
      <c r="X91" s="276"/>
      <c r="Y91" s="276"/>
      <c r="Z91" s="276"/>
    </row>
    <row r="92">
      <c r="A92" s="289" t="s">
        <v>738</v>
      </c>
      <c r="B92" s="307" t="s">
        <v>739</v>
      </c>
      <c r="C92" s="291" t="s">
        <v>512</v>
      </c>
      <c r="D92" s="291" t="s">
        <v>491</v>
      </c>
      <c r="E92" s="291" t="s">
        <v>740</v>
      </c>
      <c r="F92" s="291" t="s">
        <v>741</v>
      </c>
      <c r="G92" s="291" t="s">
        <v>730</v>
      </c>
      <c r="H92" s="278" t="s">
        <v>742</v>
      </c>
      <c r="I92" s="276"/>
      <c r="J92" s="276"/>
      <c r="K92" s="276"/>
      <c r="L92" s="276"/>
      <c r="M92" s="276"/>
      <c r="N92" s="276"/>
      <c r="O92" s="276"/>
      <c r="P92" s="276"/>
      <c r="Q92" s="276"/>
      <c r="R92" s="276"/>
      <c r="S92" s="276"/>
      <c r="T92" s="276"/>
      <c r="U92" s="276"/>
      <c r="V92" s="276"/>
      <c r="W92" s="276"/>
      <c r="X92" s="276"/>
      <c r="Y92" s="276"/>
      <c r="Z92" s="276"/>
    </row>
    <row r="93">
      <c r="A93" s="289" t="s">
        <v>743</v>
      </c>
      <c r="B93" s="307" t="s">
        <v>744</v>
      </c>
      <c r="C93" s="291" t="s">
        <v>512</v>
      </c>
      <c r="D93" s="291" t="s">
        <v>554</v>
      </c>
      <c r="E93" s="291" t="s">
        <v>567</v>
      </c>
      <c r="F93" s="291" t="s">
        <v>619</v>
      </c>
      <c r="G93" s="291" t="s">
        <v>730</v>
      </c>
      <c r="H93" s="279" t="s">
        <v>745</v>
      </c>
      <c r="I93" s="276"/>
      <c r="J93" s="276"/>
      <c r="K93" s="276"/>
      <c r="L93" s="276"/>
      <c r="M93" s="276"/>
      <c r="N93" s="276"/>
      <c r="O93" s="276"/>
      <c r="P93" s="276"/>
      <c r="Q93" s="276"/>
      <c r="R93" s="276"/>
      <c r="S93" s="276"/>
      <c r="T93" s="276"/>
      <c r="U93" s="276"/>
      <c r="V93" s="276"/>
      <c r="W93" s="276"/>
      <c r="X93" s="276"/>
      <c r="Y93" s="276"/>
      <c r="Z93" s="276"/>
    </row>
    <row r="94">
      <c r="A94" s="289" t="s">
        <v>746</v>
      </c>
      <c r="B94" s="307" t="s">
        <v>747</v>
      </c>
      <c r="C94" s="291" t="s">
        <v>484</v>
      </c>
      <c r="D94" s="277" t="s">
        <v>501</v>
      </c>
      <c r="E94" s="291" t="s">
        <v>696</v>
      </c>
      <c r="F94" s="291" t="s">
        <v>619</v>
      </c>
      <c r="G94" s="291" t="s">
        <v>730</v>
      </c>
      <c r="H94" s="279" t="s">
        <v>748</v>
      </c>
      <c r="I94" s="276"/>
      <c r="J94" s="276"/>
      <c r="K94" s="276"/>
      <c r="L94" s="276"/>
      <c r="M94" s="276"/>
      <c r="N94" s="276"/>
      <c r="O94" s="276"/>
      <c r="P94" s="276"/>
      <c r="Q94" s="276"/>
      <c r="R94" s="276"/>
      <c r="S94" s="276"/>
      <c r="T94" s="276"/>
      <c r="U94" s="276"/>
      <c r="V94" s="276"/>
      <c r="W94" s="276"/>
      <c r="X94" s="276"/>
      <c r="Y94" s="276"/>
      <c r="Z94" s="276"/>
    </row>
    <row r="95">
      <c r="A95" s="289" t="s">
        <v>749</v>
      </c>
      <c r="B95" s="307" t="s">
        <v>749</v>
      </c>
      <c r="C95" s="291" t="s">
        <v>466</v>
      </c>
      <c r="D95" s="277" t="s">
        <v>485</v>
      </c>
      <c r="E95" s="291" t="s">
        <v>696</v>
      </c>
      <c r="F95" s="291" t="s">
        <v>619</v>
      </c>
      <c r="G95" s="291" t="s">
        <v>730</v>
      </c>
      <c r="H95" s="279" t="s">
        <v>750</v>
      </c>
      <c r="I95" s="276"/>
      <c r="J95" s="276"/>
      <c r="K95" s="276"/>
      <c r="L95" s="276"/>
      <c r="M95" s="276"/>
      <c r="N95" s="276"/>
      <c r="O95" s="276"/>
      <c r="P95" s="276"/>
      <c r="Q95" s="276"/>
      <c r="R95" s="276"/>
      <c r="S95" s="276"/>
      <c r="T95" s="276"/>
      <c r="U95" s="276"/>
      <c r="V95" s="276"/>
      <c r="W95" s="276"/>
      <c r="X95" s="276"/>
      <c r="Y95" s="276"/>
      <c r="Z95" s="276"/>
    </row>
    <row r="96">
      <c r="A96" s="289" t="s">
        <v>751</v>
      </c>
      <c r="B96" s="307" t="s">
        <v>751</v>
      </c>
      <c r="C96" s="291" t="s">
        <v>506</v>
      </c>
      <c r="D96" s="291" t="s">
        <v>554</v>
      </c>
      <c r="E96" s="277" t="s">
        <v>752</v>
      </c>
      <c r="F96" s="291" t="s">
        <v>741</v>
      </c>
      <c r="G96" s="291" t="s">
        <v>730</v>
      </c>
      <c r="H96" s="279" t="s">
        <v>753</v>
      </c>
      <c r="I96" s="276"/>
      <c r="J96" s="276"/>
      <c r="K96" s="276"/>
      <c r="L96" s="276"/>
      <c r="M96" s="276"/>
      <c r="N96" s="276"/>
      <c r="O96" s="276"/>
      <c r="P96" s="276"/>
      <c r="Q96" s="276"/>
      <c r="R96" s="276"/>
      <c r="S96" s="276"/>
      <c r="T96" s="276"/>
      <c r="U96" s="276"/>
      <c r="V96" s="276"/>
      <c r="W96" s="276"/>
      <c r="X96" s="276"/>
      <c r="Y96" s="276"/>
      <c r="Z96" s="276"/>
    </row>
    <row r="97">
      <c r="A97" s="289" t="s">
        <v>754</v>
      </c>
      <c r="B97" s="307" t="s">
        <v>755</v>
      </c>
      <c r="C97" s="291" t="s">
        <v>466</v>
      </c>
      <c r="D97" s="277" t="s">
        <v>501</v>
      </c>
      <c r="E97" s="291" t="s">
        <v>756</v>
      </c>
      <c r="F97" s="291" t="s">
        <v>757</v>
      </c>
      <c r="G97" s="291" t="s">
        <v>730</v>
      </c>
      <c r="H97" s="279" t="s">
        <v>758</v>
      </c>
      <c r="I97" s="276"/>
      <c r="J97" s="276"/>
      <c r="K97" s="276"/>
      <c r="L97" s="276"/>
      <c r="M97" s="276"/>
      <c r="N97" s="276"/>
      <c r="O97" s="276"/>
      <c r="P97" s="276"/>
      <c r="Q97" s="276"/>
      <c r="R97" s="276"/>
      <c r="S97" s="276"/>
      <c r="T97" s="276"/>
      <c r="U97" s="276"/>
      <c r="V97" s="276"/>
      <c r="W97" s="276"/>
      <c r="X97" s="276"/>
      <c r="Y97" s="276"/>
      <c r="Z97" s="276"/>
    </row>
    <row r="98">
      <c r="A98" s="289" t="s">
        <v>759</v>
      </c>
      <c r="B98" s="307" t="s">
        <v>760</v>
      </c>
      <c r="C98" s="291" t="s">
        <v>512</v>
      </c>
      <c r="D98" s="277" t="s">
        <v>501</v>
      </c>
      <c r="E98" s="291" t="s">
        <v>761</v>
      </c>
      <c r="F98" s="291" t="s">
        <v>619</v>
      </c>
      <c r="G98" s="291" t="s">
        <v>730</v>
      </c>
      <c r="H98" s="279" t="s">
        <v>762</v>
      </c>
      <c r="I98" s="276"/>
      <c r="J98" s="276"/>
      <c r="K98" s="276"/>
      <c r="L98" s="276"/>
      <c r="M98" s="276"/>
      <c r="N98" s="276"/>
      <c r="O98" s="276"/>
      <c r="P98" s="276"/>
      <c r="Q98" s="276"/>
      <c r="R98" s="276"/>
      <c r="S98" s="276"/>
      <c r="T98" s="276"/>
      <c r="U98" s="276"/>
      <c r="V98" s="276"/>
      <c r="W98" s="276"/>
      <c r="X98" s="276"/>
      <c r="Y98" s="276"/>
      <c r="Z98" s="276"/>
    </row>
    <row r="99">
      <c r="A99" s="289" t="s">
        <v>763</v>
      </c>
      <c r="B99" s="307" t="s">
        <v>764</v>
      </c>
      <c r="C99" s="291" t="s">
        <v>484</v>
      </c>
      <c r="D99" s="277" t="s">
        <v>485</v>
      </c>
      <c r="E99" s="291" t="s">
        <v>696</v>
      </c>
      <c r="F99" s="291" t="s">
        <v>619</v>
      </c>
      <c r="G99" s="291" t="s">
        <v>730</v>
      </c>
      <c r="H99" s="279" t="s">
        <v>765</v>
      </c>
      <c r="I99" s="276"/>
      <c r="J99" s="276"/>
      <c r="K99" s="276"/>
      <c r="L99" s="276"/>
      <c r="M99" s="276"/>
      <c r="N99" s="276"/>
      <c r="O99" s="276"/>
      <c r="P99" s="276"/>
      <c r="Q99" s="276"/>
      <c r="R99" s="276"/>
      <c r="S99" s="276"/>
      <c r="T99" s="276"/>
      <c r="U99" s="276"/>
      <c r="V99" s="276"/>
      <c r="W99" s="276"/>
      <c r="X99" s="276"/>
      <c r="Y99" s="276"/>
      <c r="Z99" s="276"/>
    </row>
    <row r="100">
      <c r="A100" s="289" t="s">
        <v>766</v>
      </c>
      <c r="B100" s="307" t="s">
        <v>767</v>
      </c>
      <c r="C100" s="291" t="s">
        <v>768</v>
      </c>
      <c r="D100" s="291" t="s">
        <v>491</v>
      </c>
      <c r="E100" s="291" t="s">
        <v>696</v>
      </c>
      <c r="F100" s="291" t="s">
        <v>619</v>
      </c>
      <c r="G100" s="291" t="s">
        <v>730</v>
      </c>
      <c r="H100" s="279" t="s">
        <v>769</v>
      </c>
      <c r="I100" s="276"/>
      <c r="J100" s="276"/>
      <c r="K100" s="276"/>
      <c r="L100" s="276"/>
      <c r="M100" s="276"/>
      <c r="N100" s="276"/>
      <c r="O100" s="276"/>
      <c r="P100" s="276"/>
      <c r="Q100" s="276"/>
      <c r="R100" s="276"/>
      <c r="S100" s="276"/>
      <c r="T100" s="276"/>
      <c r="U100" s="276"/>
      <c r="V100" s="276"/>
      <c r="W100" s="276"/>
      <c r="X100" s="276"/>
      <c r="Y100" s="276"/>
      <c r="Z100" s="276"/>
    </row>
    <row r="101">
      <c r="A101" s="289" t="s">
        <v>770</v>
      </c>
      <c r="B101" s="307" t="s">
        <v>771</v>
      </c>
      <c r="C101" s="291" t="s">
        <v>564</v>
      </c>
      <c r="D101" s="291" t="s">
        <v>554</v>
      </c>
      <c r="E101" s="291" t="s">
        <v>772</v>
      </c>
      <c r="F101" s="291" t="s">
        <v>773</v>
      </c>
      <c r="G101" s="291" t="s">
        <v>730</v>
      </c>
      <c r="H101" s="279" t="s">
        <v>774</v>
      </c>
      <c r="I101" s="276"/>
      <c r="J101" s="276"/>
      <c r="K101" s="276"/>
      <c r="L101" s="276"/>
      <c r="M101" s="276"/>
      <c r="N101" s="276"/>
      <c r="O101" s="276"/>
      <c r="P101" s="276"/>
      <c r="Q101" s="276"/>
      <c r="R101" s="276"/>
      <c r="S101" s="276"/>
      <c r="T101" s="276"/>
      <c r="U101" s="276"/>
      <c r="V101" s="276"/>
      <c r="W101" s="276"/>
      <c r="X101" s="276"/>
      <c r="Y101" s="276"/>
      <c r="Z101" s="276"/>
    </row>
    <row r="102">
      <c r="B102" s="307" t="s">
        <v>775</v>
      </c>
      <c r="C102" s="291" t="s">
        <v>655</v>
      </c>
      <c r="D102" s="291" t="s">
        <v>554</v>
      </c>
      <c r="I102" s="276"/>
      <c r="J102" s="276"/>
      <c r="K102" s="276"/>
      <c r="L102" s="276"/>
      <c r="M102" s="276"/>
      <c r="N102" s="276"/>
      <c r="O102" s="276"/>
      <c r="P102" s="276"/>
      <c r="Q102" s="276"/>
      <c r="R102" s="276"/>
      <c r="S102" s="276"/>
      <c r="T102" s="276"/>
      <c r="U102" s="276"/>
      <c r="V102" s="276"/>
      <c r="W102" s="276"/>
      <c r="X102" s="276"/>
      <c r="Y102" s="276"/>
      <c r="Z102" s="276"/>
    </row>
    <row r="103">
      <c r="A103" s="289" t="s">
        <v>776</v>
      </c>
      <c r="B103" s="307" t="s">
        <v>777</v>
      </c>
      <c r="C103" s="291" t="s">
        <v>462</v>
      </c>
      <c r="D103" s="291" t="s">
        <v>491</v>
      </c>
      <c r="E103" s="291" t="s">
        <v>567</v>
      </c>
      <c r="F103" s="291" t="s">
        <v>619</v>
      </c>
      <c r="G103" s="291" t="s">
        <v>730</v>
      </c>
      <c r="H103" s="278" t="s">
        <v>778</v>
      </c>
      <c r="I103" s="276"/>
      <c r="J103" s="276"/>
      <c r="K103" s="276"/>
      <c r="L103" s="276"/>
      <c r="M103" s="276"/>
      <c r="N103" s="276"/>
      <c r="O103" s="276"/>
      <c r="P103" s="276"/>
      <c r="Q103" s="276"/>
      <c r="R103" s="276"/>
      <c r="S103" s="276"/>
      <c r="T103" s="276"/>
      <c r="U103" s="276"/>
      <c r="V103" s="276"/>
      <c r="W103" s="276"/>
      <c r="X103" s="276"/>
      <c r="Y103" s="276"/>
      <c r="Z103" s="276"/>
    </row>
    <row r="104">
      <c r="B104" s="307" t="s">
        <v>779</v>
      </c>
      <c r="C104" s="291" t="s">
        <v>646</v>
      </c>
      <c r="I104" s="276"/>
      <c r="J104" s="276"/>
      <c r="K104" s="276"/>
      <c r="L104" s="276"/>
      <c r="M104" s="276"/>
      <c r="N104" s="276"/>
      <c r="O104" s="276"/>
      <c r="P104" s="276"/>
      <c r="Q104" s="276"/>
      <c r="R104" s="276"/>
      <c r="S104" s="276"/>
      <c r="T104" s="276"/>
      <c r="U104" s="276"/>
      <c r="V104" s="276"/>
      <c r="W104" s="276"/>
      <c r="X104" s="276"/>
      <c r="Y104" s="276"/>
      <c r="Z104" s="276"/>
    </row>
    <row r="105">
      <c r="B105" s="307" t="s">
        <v>780</v>
      </c>
      <c r="C105" s="291" t="s">
        <v>655</v>
      </c>
      <c r="I105" s="276"/>
      <c r="J105" s="276"/>
      <c r="K105" s="276"/>
      <c r="L105" s="276"/>
      <c r="M105" s="276"/>
      <c r="N105" s="276"/>
      <c r="O105" s="276"/>
      <c r="P105" s="276"/>
      <c r="Q105" s="276"/>
      <c r="R105" s="276"/>
      <c r="S105" s="276"/>
      <c r="T105" s="276"/>
      <c r="U105" s="276"/>
      <c r="V105" s="276"/>
      <c r="W105" s="276"/>
      <c r="X105" s="276"/>
      <c r="Y105" s="276"/>
      <c r="Z105" s="276"/>
    </row>
    <row r="106">
      <c r="A106" s="289" t="s">
        <v>781</v>
      </c>
      <c r="B106" s="307" t="s">
        <v>782</v>
      </c>
      <c r="C106" s="291" t="s">
        <v>462</v>
      </c>
      <c r="D106" s="277" t="s">
        <v>485</v>
      </c>
      <c r="E106" s="291" t="s">
        <v>567</v>
      </c>
      <c r="F106" s="291" t="s">
        <v>619</v>
      </c>
      <c r="G106" s="291" t="s">
        <v>730</v>
      </c>
      <c r="H106" s="278" t="s">
        <v>778</v>
      </c>
      <c r="I106" s="276"/>
      <c r="J106" s="276"/>
      <c r="K106" s="276"/>
      <c r="L106" s="276"/>
      <c r="M106" s="276"/>
      <c r="N106" s="276"/>
      <c r="O106" s="276"/>
      <c r="P106" s="276"/>
      <c r="Q106" s="276"/>
      <c r="R106" s="276"/>
      <c r="S106" s="276"/>
      <c r="T106" s="276"/>
      <c r="U106" s="276"/>
      <c r="V106" s="276"/>
      <c r="W106" s="276"/>
      <c r="X106" s="276"/>
      <c r="Y106" s="276"/>
      <c r="Z106" s="276"/>
    </row>
    <row r="107">
      <c r="B107" s="307" t="s">
        <v>783</v>
      </c>
      <c r="C107" s="291" t="s">
        <v>646</v>
      </c>
      <c r="I107" s="276"/>
      <c r="J107" s="276"/>
      <c r="K107" s="276"/>
      <c r="L107" s="276"/>
      <c r="M107" s="276"/>
      <c r="N107" s="276"/>
      <c r="O107" s="276"/>
      <c r="P107" s="276"/>
      <c r="Q107" s="276"/>
      <c r="R107" s="276"/>
      <c r="S107" s="276"/>
      <c r="T107" s="276"/>
      <c r="U107" s="276"/>
      <c r="V107" s="276"/>
      <c r="W107" s="276"/>
      <c r="X107" s="276"/>
      <c r="Y107" s="276"/>
      <c r="Z107" s="276"/>
    </row>
    <row r="108">
      <c r="B108" s="307" t="s">
        <v>784</v>
      </c>
      <c r="C108" s="291" t="s">
        <v>655</v>
      </c>
      <c r="I108" s="276"/>
      <c r="J108" s="276"/>
      <c r="K108" s="276"/>
      <c r="L108" s="276"/>
      <c r="M108" s="276"/>
      <c r="N108" s="276"/>
      <c r="O108" s="276"/>
      <c r="P108" s="276"/>
      <c r="Q108" s="276"/>
      <c r="R108" s="276"/>
      <c r="S108" s="276"/>
      <c r="T108" s="276"/>
      <c r="U108" s="276"/>
      <c r="V108" s="276"/>
      <c r="W108" s="276"/>
      <c r="X108" s="276"/>
      <c r="Y108" s="276"/>
      <c r="Z108" s="276"/>
    </row>
    <row r="109">
      <c r="A109" s="289" t="s">
        <v>785</v>
      </c>
      <c r="B109" s="307" t="s">
        <v>786</v>
      </c>
      <c r="C109" s="291" t="s">
        <v>462</v>
      </c>
      <c r="D109" s="291" t="s">
        <v>467</v>
      </c>
      <c r="E109" s="291" t="s">
        <v>567</v>
      </c>
      <c r="F109" s="291" t="s">
        <v>619</v>
      </c>
      <c r="G109" s="291" t="s">
        <v>730</v>
      </c>
      <c r="H109" s="278" t="s">
        <v>778</v>
      </c>
      <c r="I109" s="276"/>
      <c r="J109" s="276"/>
      <c r="K109" s="276"/>
      <c r="L109" s="276"/>
      <c r="M109" s="276"/>
      <c r="N109" s="276"/>
      <c r="O109" s="276"/>
      <c r="P109" s="276"/>
      <c r="Q109" s="276"/>
      <c r="R109" s="276"/>
      <c r="S109" s="276"/>
      <c r="T109" s="276"/>
      <c r="U109" s="276"/>
      <c r="V109" s="276"/>
      <c r="W109" s="276"/>
      <c r="X109" s="276"/>
      <c r="Y109" s="276"/>
      <c r="Z109" s="276"/>
    </row>
    <row r="110">
      <c r="B110" s="307" t="s">
        <v>787</v>
      </c>
      <c r="C110" s="291" t="s">
        <v>646</v>
      </c>
      <c r="D110" s="277" t="s">
        <v>456</v>
      </c>
      <c r="I110" s="276"/>
      <c r="J110" s="276"/>
      <c r="K110" s="276"/>
      <c r="L110" s="276"/>
      <c r="M110" s="276"/>
      <c r="N110" s="276"/>
      <c r="O110" s="276"/>
      <c r="P110" s="276"/>
      <c r="Q110" s="276"/>
      <c r="R110" s="276"/>
      <c r="S110" s="276"/>
      <c r="T110" s="276"/>
      <c r="U110" s="276"/>
      <c r="V110" s="276"/>
      <c r="W110" s="276"/>
      <c r="X110" s="276"/>
      <c r="Y110" s="276"/>
      <c r="Z110" s="276"/>
    </row>
    <row r="111">
      <c r="B111" s="307" t="s">
        <v>788</v>
      </c>
      <c r="C111" s="291" t="s">
        <v>655</v>
      </c>
      <c r="D111" s="291" t="s">
        <v>566</v>
      </c>
      <c r="I111" s="276"/>
      <c r="J111" s="276"/>
      <c r="K111" s="276"/>
      <c r="L111" s="276"/>
      <c r="M111" s="276"/>
      <c r="N111" s="276"/>
      <c r="O111" s="276"/>
      <c r="P111" s="276"/>
      <c r="Q111" s="276"/>
      <c r="R111" s="276"/>
      <c r="S111" s="276"/>
      <c r="T111" s="276"/>
      <c r="U111" s="276"/>
      <c r="V111" s="276"/>
      <c r="W111" s="276"/>
      <c r="X111" s="276"/>
      <c r="Y111" s="276"/>
      <c r="Z111" s="276"/>
    </row>
    <row r="112">
      <c r="A112" s="311" t="s">
        <v>789</v>
      </c>
      <c r="B112" s="298" t="s">
        <v>790</v>
      </c>
      <c r="C112" s="295" t="s">
        <v>791</v>
      </c>
      <c r="D112" s="295" t="s">
        <v>491</v>
      </c>
      <c r="E112" s="296" t="s">
        <v>792</v>
      </c>
      <c r="F112" s="295" t="s">
        <v>793</v>
      </c>
      <c r="G112" s="295" t="s">
        <v>620</v>
      </c>
      <c r="H112" s="314" t="s">
        <v>794</v>
      </c>
      <c r="I112" s="276"/>
      <c r="J112" s="276"/>
      <c r="K112" s="276"/>
      <c r="L112" s="276"/>
      <c r="M112" s="276"/>
      <c r="N112" s="276"/>
      <c r="O112" s="276"/>
      <c r="P112" s="276"/>
      <c r="Q112" s="276"/>
      <c r="R112" s="276"/>
      <c r="S112" s="276"/>
      <c r="T112" s="276"/>
      <c r="U112" s="276"/>
      <c r="V112" s="276"/>
      <c r="W112" s="276"/>
      <c r="X112" s="276"/>
      <c r="Y112" s="276"/>
      <c r="Z112" s="276"/>
    </row>
    <row r="113">
      <c r="A113" s="315" t="s">
        <v>795</v>
      </c>
      <c r="B113" s="307" t="s">
        <v>796</v>
      </c>
      <c r="C113" s="291" t="s">
        <v>466</v>
      </c>
      <c r="D113" s="291" t="s">
        <v>491</v>
      </c>
      <c r="E113" s="291" t="s">
        <v>797</v>
      </c>
      <c r="F113" s="291" t="s">
        <v>798</v>
      </c>
      <c r="G113" s="291" t="s">
        <v>620</v>
      </c>
      <c r="H113" s="278" t="s">
        <v>799</v>
      </c>
      <c r="I113" s="276"/>
      <c r="J113" s="276"/>
      <c r="K113" s="276"/>
      <c r="L113" s="276"/>
      <c r="M113" s="276"/>
      <c r="N113" s="276"/>
      <c r="O113" s="276"/>
      <c r="P113" s="276"/>
      <c r="Q113" s="276"/>
      <c r="R113" s="276"/>
      <c r="S113" s="276"/>
      <c r="T113" s="276"/>
      <c r="U113" s="276"/>
      <c r="V113" s="276"/>
      <c r="W113" s="276"/>
      <c r="X113" s="276"/>
      <c r="Y113" s="276"/>
      <c r="Z113" s="276"/>
    </row>
    <row r="114">
      <c r="A114" s="289" t="s">
        <v>800</v>
      </c>
      <c r="B114" s="307" t="s">
        <v>801</v>
      </c>
      <c r="C114" s="291" t="s">
        <v>462</v>
      </c>
      <c r="D114" s="291" t="s">
        <v>554</v>
      </c>
      <c r="E114" s="291" t="s">
        <v>802</v>
      </c>
      <c r="F114" s="291" t="s">
        <v>803</v>
      </c>
      <c r="G114" s="291" t="s">
        <v>620</v>
      </c>
      <c r="H114" s="278" t="s">
        <v>804</v>
      </c>
      <c r="I114" s="276"/>
      <c r="J114" s="276"/>
      <c r="K114" s="276"/>
      <c r="L114" s="276"/>
      <c r="M114" s="276"/>
      <c r="N114" s="276"/>
      <c r="O114" s="276"/>
      <c r="P114" s="276"/>
      <c r="Q114" s="276"/>
      <c r="R114" s="276"/>
      <c r="S114" s="276"/>
      <c r="T114" s="276"/>
      <c r="U114" s="276"/>
      <c r="V114" s="276"/>
      <c r="W114" s="276"/>
      <c r="X114" s="276"/>
      <c r="Y114" s="276"/>
      <c r="Z114" s="276"/>
    </row>
    <row r="115">
      <c r="B115" s="307" t="s">
        <v>805</v>
      </c>
      <c r="C115" s="291" t="s">
        <v>462</v>
      </c>
      <c r="I115" s="276"/>
      <c r="J115" s="276"/>
      <c r="K115" s="276"/>
      <c r="L115" s="276"/>
      <c r="M115" s="276"/>
      <c r="N115" s="276"/>
      <c r="O115" s="276"/>
      <c r="P115" s="276"/>
      <c r="Q115" s="276"/>
      <c r="R115" s="276"/>
      <c r="S115" s="276"/>
      <c r="T115" s="276"/>
      <c r="U115" s="276"/>
      <c r="V115" s="276"/>
      <c r="W115" s="276"/>
      <c r="X115" s="276"/>
      <c r="Y115" s="276"/>
      <c r="Z115" s="276"/>
    </row>
    <row r="116">
      <c r="B116" s="307" t="s">
        <v>806</v>
      </c>
      <c r="C116" s="291" t="s">
        <v>807</v>
      </c>
      <c r="I116" s="276"/>
      <c r="J116" s="276"/>
      <c r="K116" s="276"/>
      <c r="L116" s="276"/>
      <c r="M116" s="276"/>
      <c r="N116" s="276"/>
      <c r="O116" s="276"/>
      <c r="P116" s="276"/>
      <c r="Q116" s="276"/>
      <c r="R116" s="276"/>
      <c r="S116" s="276"/>
      <c r="T116" s="276"/>
      <c r="U116" s="276"/>
      <c r="V116" s="276"/>
      <c r="W116" s="276"/>
      <c r="X116" s="276"/>
      <c r="Y116" s="276"/>
      <c r="Z116" s="276"/>
    </row>
    <row r="117">
      <c r="A117" s="285" t="s">
        <v>808</v>
      </c>
      <c r="B117" s="286" t="s">
        <v>809</v>
      </c>
      <c r="C117" s="287" t="s">
        <v>714</v>
      </c>
      <c r="D117" s="309" t="s">
        <v>810</v>
      </c>
      <c r="E117" s="287" t="s">
        <v>811</v>
      </c>
      <c r="F117" s="287" t="s">
        <v>534</v>
      </c>
      <c r="G117" s="287" t="s">
        <v>620</v>
      </c>
      <c r="H117" s="288" t="s">
        <v>812</v>
      </c>
      <c r="I117" s="276"/>
      <c r="J117" s="276"/>
      <c r="K117" s="276"/>
      <c r="L117" s="276"/>
      <c r="M117" s="276"/>
      <c r="N117" s="276"/>
      <c r="O117" s="276"/>
      <c r="P117" s="276"/>
      <c r="Q117" s="276"/>
      <c r="R117" s="276"/>
      <c r="S117" s="276"/>
      <c r="T117" s="276"/>
      <c r="U117" s="276"/>
      <c r="V117" s="276"/>
      <c r="W117" s="276"/>
      <c r="X117" s="276"/>
      <c r="Y117" s="276"/>
      <c r="Z117" s="276"/>
    </row>
    <row r="118">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row>
    <row r="119">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row>
    <row r="120">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row>
    <row r="12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row>
    <row r="122">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row>
    <row r="123">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row>
    <row r="124">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row>
    <row r="125">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row>
    <row r="126">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row>
    <row r="127">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row>
    <row r="128">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row>
    <row r="129">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row>
    <row r="130">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row>
    <row r="13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row>
    <row r="132">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row>
    <row r="133">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row>
    <row r="134">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row>
    <row r="135">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row>
    <row r="136">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row>
    <row r="137">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row>
    <row r="138">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row>
    <row r="139">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row>
    <row r="140">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row>
    <row r="14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row>
    <row r="142">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row>
    <row r="143">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row>
    <row r="144">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row>
    <row r="145">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row>
    <row r="146">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row>
    <row r="147">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row>
    <row r="148">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row>
    <row r="149">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row>
    <row r="150">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row>
    <row r="15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row>
    <row r="152">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row>
    <row r="153">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row>
    <row r="154">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row>
    <row r="155">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row>
    <row r="156">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row>
    <row r="157">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row>
    <row r="158">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row>
    <row r="159">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row>
    <row r="16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row>
    <row r="162">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row>
    <row r="163">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row>
    <row r="164">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row>
    <row r="165">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row>
    <row r="166">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row>
    <row r="167">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row>
    <row r="168">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row>
    <row r="169">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row>
    <row r="170">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row>
    <row r="17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row>
    <row r="172">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row>
    <row r="173">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row>
    <row r="174">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row>
    <row r="175">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row>
    <row r="176">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row>
    <row r="177">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row>
    <row r="178">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row>
    <row r="179">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row>
    <row r="180">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row>
    <row r="18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row>
    <row r="182">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row>
    <row r="183">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row>
    <row r="184">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row>
    <row r="185">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row>
    <row r="186">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row>
    <row r="187">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row>
    <row r="188">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row>
    <row r="189">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row>
    <row r="190">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row>
    <row r="19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row>
    <row r="192">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row>
    <row r="193">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row>
    <row r="194">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row>
    <row r="195">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row>
    <row r="196">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row>
    <row r="197">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row>
    <row r="198">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row>
    <row r="199">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row>
    <row r="200">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row>
    <row r="20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row>
    <row r="202">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row>
    <row r="203">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row>
    <row r="204">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row>
    <row r="205">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row>
    <row r="206">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row>
    <row r="207">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row>
    <row r="208">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row>
    <row r="209">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row>
    <row r="210">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row>
    <row r="21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row>
    <row r="212">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row>
    <row r="213">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row>
    <row r="215">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row>
    <row r="216">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row>
    <row r="217">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row>
    <row r="218">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row>
    <row r="219">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row>
    <row r="220">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row>
    <row r="22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row>
    <row r="222">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row>
    <row r="223">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row>
    <row r="224">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row>
    <row r="225">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row>
    <row r="226">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row>
    <row r="227">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row>
    <row r="228">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row>
    <row r="229">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row>
    <row r="230">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row>
    <row r="23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row>
    <row r="232">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row>
    <row r="233">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row>
    <row r="234">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row>
    <row r="235">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row>
    <row r="236">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row>
    <row r="237">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row>
    <row r="238">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row>
    <row r="239">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row>
    <row r="240">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row>
    <row r="24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row>
    <row r="242">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row>
    <row r="243">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row>
    <row r="244">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row>
    <row r="245">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row>
    <row r="246">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row>
    <row r="247">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row>
    <row r="248">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row>
    <row r="249">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row>
    <row r="250">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row>
    <row r="25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row>
    <row r="252">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row>
    <row r="253">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row>
    <row r="254">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row>
    <row r="255">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row>
    <row r="256">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row>
    <row r="257">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row>
    <row r="258">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row>
    <row r="259">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row>
    <row r="260">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row>
    <row r="26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row>
    <row r="262">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row>
    <row r="263">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row>
    <row r="264">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row>
    <row r="265">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row>
    <row r="266">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row>
    <row r="267">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row>
    <row r="268">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row>
    <row r="269">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row>
    <row r="270">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row>
    <row r="27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row>
    <row r="272">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row>
    <row r="273">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row>
    <row r="274">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row>
    <row r="275">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row>
    <row r="276">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row>
    <row r="277">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row>
    <row r="278">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row>
    <row r="279">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row>
    <row r="280">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row>
    <row r="28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row>
    <row r="282">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row>
    <row r="283">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row>
    <row r="284">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row>
    <row r="285">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row>
    <row r="286">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row>
    <row r="287">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row>
    <row r="288">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row>
    <row r="289">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row>
    <row r="290">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row>
    <row r="29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row>
    <row r="292">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row>
    <row r="293">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row>
    <row r="294">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row>
    <row r="295">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row>
    <row r="296">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row>
    <row r="297">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row>
    <row r="298">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row>
    <row r="299">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row>
    <row r="300">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row>
    <row r="30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row>
    <row r="302">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row>
    <row r="303">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row>
    <row r="304">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row>
    <row r="305">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row>
    <row r="306">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row>
    <row r="307">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row>
    <row r="308">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row>
    <row r="309">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row>
    <row r="310">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row>
    <row r="31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row>
    <row r="312">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row>
    <row r="313">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row>
    <row r="314">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row>
    <row r="315">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row>
    <row r="316">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row>
    <row r="317">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row>
    <row r="318">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row>
    <row r="319">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row>
    <row r="320">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row>
    <row r="32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row>
    <row r="322">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row>
    <row r="323">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row>
    <row r="324">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row>
    <row r="325">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row>
    <row r="326">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row>
    <row r="327">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row>
    <row r="328">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row>
    <row r="329">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row>
    <row r="330">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row>
    <row r="33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row>
    <row r="332">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row>
    <row r="333">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row>
    <row r="334">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row>
    <row r="335">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row>
    <row r="336">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row>
    <row r="337">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row>
    <row r="338">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row>
    <row r="339">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row>
    <row r="340">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row>
    <row r="34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row>
    <row r="342">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row>
    <row r="343">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row>
    <row r="344">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row>
    <row r="345">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row>
    <row r="346">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row>
    <row r="347">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row>
    <row r="348">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row>
    <row r="349">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row>
    <row r="350">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row>
    <row r="35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row>
    <row r="352">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row>
    <row r="353">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row>
    <row r="354">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row>
    <row r="355">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row>
    <row r="356">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row>
    <row r="357">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row>
    <row r="358">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row>
    <row r="359">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row>
    <row r="360">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row>
    <row r="36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row>
    <row r="362">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row>
    <row r="363">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row>
    <row r="364">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row>
    <row r="365">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row>
    <row r="366">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row>
    <row r="367">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row>
    <row r="368">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row>
    <row r="369">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row>
    <row r="370">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row>
    <row r="37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row>
    <row r="372">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row>
    <row r="373">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row>
    <row r="374">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row>
    <row r="375">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row>
    <row r="376">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row>
    <row r="377">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row>
    <row r="378">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row>
    <row r="379">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row>
    <row r="380">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row>
    <row r="38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row>
    <row r="382">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row>
    <row r="383">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row>
    <row r="384">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row>
    <row r="385">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row>
    <row r="386">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row>
    <row r="387">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row>
    <row r="388">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row>
    <row r="389">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row>
    <row r="390">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row>
    <row r="39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row>
    <row r="392">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row>
    <row r="393">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row>
    <row r="394">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row>
    <row r="395">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row>
    <row r="396">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row>
    <row r="397">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row>
    <row r="398">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row>
    <row r="399">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row>
    <row r="400">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row>
    <row r="40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row>
    <row r="402">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row>
    <row r="403">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row>
    <row r="404">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row>
    <row r="405">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row>
    <row r="406">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row>
    <row r="407">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row>
    <row r="408">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row>
    <row r="409">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row>
    <row r="410">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row>
    <row r="41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row>
    <row r="412">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row>
    <row r="413">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row>
    <row r="414">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row>
    <row r="415">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row>
    <row r="416">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row>
    <row r="417">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row>
    <row r="418">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row>
    <row r="419">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row>
    <row r="420">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row>
    <row r="42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row>
    <row r="422">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row>
    <row r="423">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row>
    <row r="424">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row>
    <row r="425">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row>
    <row r="426">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row>
    <row r="427">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row>
    <row r="428">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row>
    <row r="429">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row>
    <row r="430">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row>
    <row r="43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row>
    <row r="432">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row>
    <row r="433">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row>
    <row r="434">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row>
    <row r="435">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row>
    <row r="436">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row>
    <row r="437">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row>
    <row r="438">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row>
    <row r="439">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row>
    <row r="440">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row>
    <row r="44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row>
    <row r="442">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row>
    <row r="443">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row>
    <row r="444">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row>
    <row r="445">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row>
    <row r="446">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row>
    <row r="447">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row>
    <row r="448">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row>
    <row r="449">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row>
    <row r="450">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row>
    <row r="45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row>
    <row r="452">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row>
    <row r="453">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row>
    <row r="454">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row>
    <row r="455">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row>
    <row r="456">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row>
    <row r="457">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row>
    <row r="458">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row>
    <row r="459">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row>
    <row r="460">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row>
    <row r="46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row>
    <row r="462">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row>
    <row r="463">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row>
    <row r="464">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row>
    <row r="465">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row>
    <row r="466">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row>
    <row r="467">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row>
    <row r="468">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row>
    <row r="469">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row>
    <row r="470">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row>
    <row r="47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row>
    <row r="472">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row>
    <row r="473">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row>
    <row r="474">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row>
    <row r="475">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row>
    <row r="476">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row>
    <row r="477">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row>
    <row r="478">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row>
    <row r="479">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row>
    <row r="480">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row>
    <row r="48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row>
    <row r="482">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row>
    <row r="483">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row>
    <row r="484">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row>
    <row r="485">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row>
    <row r="486">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row>
    <row r="487">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row>
    <row r="488">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row>
    <row r="489">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row>
    <row r="490">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row>
    <row r="49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row>
    <row r="492">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row>
    <row r="493">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row>
    <row r="494">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row>
    <row r="495">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row>
    <row r="496">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row>
    <row r="497">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row>
    <row r="498">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row>
    <row r="499">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row>
    <row r="500">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row>
    <row r="50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row>
    <row r="502">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row>
    <row r="503">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row>
    <row r="504">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row>
    <row r="505">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row>
    <row r="506">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row>
    <row r="507">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row>
    <row r="508">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row>
    <row r="509">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row>
    <row r="510">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row>
    <row r="51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row>
    <row r="512">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row>
    <row r="513">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row>
    <row r="514">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row>
    <row r="515">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row>
    <row r="516">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row>
    <row r="517">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row>
    <row r="518">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row>
    <row r="519">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row>
    <row r="520">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row>
    <row r="52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row>
    <row r="522">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row>
    <row r="523">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row>
    <row r="524">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row>
    <row r="525">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row>
    <row r="526">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row>
    <row r="527">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row>
    <row r="528">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row>
    <row r="529">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row>
    <row r="530">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row>
    <row r="53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row>
    <row r="532">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row>
    <row r="533">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row>
    <row r="534">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row>
    <row r="535">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row>
    <row r="536">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row>
    <row r="537">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row>
    <row r="538">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row>
    <row r="539">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row>
    <row r="540">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row>
    <row r="54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row>
    <row r="542">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row>
    <row r="543">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row>
    <row r="544">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row>
    <row r="545">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row>
    <row r="546">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row>
    <row r="547">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row>
    <row r="548">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row>
    <row r="549">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row>
    <row r="550">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row>
    <row r="55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row>
    <row r="552">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row>
    <row r="553">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row>
    <row r="554">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row>
    <row r="555">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row>
    <row r="556">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row>
    <row r="557">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row>
    <row r="558">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row>
    <row r="559">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row>
    <row r="560">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row>
    <row r="56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row>
    <row r="562">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row>
    <row r="563">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row>
    <row r="564">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row>
    <row r="565">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row>
    <row r="566">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row>
    <row r="567">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row>
    <row r="568">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row>
    <row r="569">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row>
    <row r="570">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row>
    <row r="57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row>
    <row r="572">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row>
    <row r="573">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row>
    <row r="574">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row>
    <row r="575">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row>
    <row r="576">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row>
    <row r="577">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row>
    <row r="578">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row>
    <row r="579">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row>
    <row r="580">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row>
    <row r="58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row>
    <row r="582">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row>
    <row r="583">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row>
    <row r="584">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row>
    <row r="585">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row>
    <row r="586">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row>
    <row r="587">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row>
    <row r="588">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row>
    <row r="589">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row>
    <row r="590">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row>
    <row r="59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row>
    <row r="592">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row>
    <row r="593">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row>
    <row r="594">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row>
    <row r="595">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row>
    <row r="596">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row>
    <row r="597">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row>
    <row r="598">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row>
    <row r="599">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row>
    <row r="600">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row>
    <row r="60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row>
    <row r="602">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row>
    <row r="603">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row>
    <row r="604">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row>
    <row r="605">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row>
    <row r="606">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row>
    <row r="607">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row>
    <row r="608">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row>
    <row r="609">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row>
    <row r="610">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row>
    <row r="61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row>
    <row r="612">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row>
    <row r="613">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row>
    <row r="614">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row>
    <row r="615">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row>
    <row r="616">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row>
    <row r="617">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row>
    <row r="618">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row>
    <row r="619">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row>
    <row r="620">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row>
    <row r="62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row>
    <row r="622">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row>
    <row r="623">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row>
    <row r="624">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row>
    <row r="625">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row>
    <row r="626">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row>
    <row r="627">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row>
    <row r="628">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row>
    <row r="629">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row>
    <row r="630">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row>
    <row r="63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row>
    <row r="632">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row>
    <row r="633">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row>
    <row r="634">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row>
    <row r="635">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row>
    <row r="636">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row>
    <row r="637">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row>
    <row r="638">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row>
    <row r="639">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row>
    <row r="640">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row>
    <row r="64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row>
    <row r="642">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row>
    <row r="643">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row>
    <row r="644">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row>
    <row r="645">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row>
    <row r="646">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row>
    <row r="647">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row>
    <row r="648">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row>
    <row r="649">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row>
    <row r="650">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row>
    <row r="65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row>
    <row r="652">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row>
    <row r="653">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row>
    <row r="654">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row>
    <row r="655">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row>
    <row r="656">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row>
    <row r="657">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row>
    <row r="658">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row>
    <row r="659">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row>
    <row r="660">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row>
    <row r="66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row>
    <row r="662">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row>
    <row r="663">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row>
    <row r="664">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row>
    <row r="665">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row>
    <row r="666">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row>
    <row r="667">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row>
    <row r="668">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row>
    <row r="669">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row>
    <row r="670">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row>
    <row r="67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row>
    <row r="672">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row>
    <row r="673">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row>
    <row r="674">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row>
    <row r="675">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row>
    <row r="676">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row>
    <row r="677">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row>
    <row r="678">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row>
    <row r="679">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row>
    <row r="680">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row>
    <row r="68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row>
    <row r="682">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row>
    <row r="683">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row>
    <row r="684">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row>
    <row r="685">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row>
    <row r="686">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row>
    <row r="687">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row>
    <row r="688">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row>
    <row r="689">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row>
    <row r="690">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row>
    <row r="69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row>
    <row r="692">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row>
    <row r="693">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row>
    <row r="694">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row>
    <row r="695">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row>
    <row r="696">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row>
    <row r="697">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row>
    <row r="698">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row>
    <row r="699">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row>
    <row r="700">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row>
    <row r="70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row>
    <row r="702">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row>
    <row r="703">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row>
    <row r="704">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row>
    <row r="705">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row>
    <row r="706">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row>
    <row r="707">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row>
    <row r="708">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row>
    <row r="709">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row>
    <row r="710">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row>
    <row r="71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row>
    <row r="712">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row>
    <row r="713">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row>
    <row r="714">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row>
    <row r="715">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row>
    <row r="716">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row>
    <row r="717">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row>
    <row r="718">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row>
    <row r="719">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row>
    <row r="720">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row>
    <row r="72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row>
    <row r="722">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row>
    <row r="723">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row>
    <row r="724">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row>
    <row r="725">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row>
    <row r="726">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row>
    <row r="727">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row>
    <row r="728">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row>
    <row r="729">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row>
    <row r="730">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row>
    <row r="73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row>
    <row r="732">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row>
    <row r="733">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row>
    <row r="734">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row>
    <row r="735">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row>
    <row r="736">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row>
    <row r="737">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row>
    <row r="738">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row>
    <row r="739">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row>
    <row r="740">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row>
    <row r="74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row>
    <row r="742">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row>
    <row r="743">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row>
    <row r="744">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row>
    <row r="745">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row>
    <row r="746">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row>
    <row r="747">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row>
    <row r="748">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row>
    <row r="749">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row>
    <row r="750">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row>
    <row r="75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row>
    <row r="752">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row>
    <row r="753">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row>
    <row r="754">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row>
    <row r="755">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row>
    <row r="756">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row>
    <row r="757">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row>
    <row r="758">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row>
    <row r="759">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row>
    <row r="760">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row>
    <row r="76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row>
    <row r="762">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row>
    <row r="763">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row>
    <row r="764">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row>
    <row r="765">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row>
    <row r="766">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row>
    <row r="767">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row>
    <row r="768">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row>
    <row r="769">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row>
    <row r="770">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row>
    <row r="77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row>
    <row r="772">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row>
    <row r="773">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row>
    <row r="774">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row>
    <row r="775">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row>
    <row r="776">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row>
    <row r="777">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row>
    <row r="778">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row>
    <row r="779">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row>
    <row r="780">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row>
    <row r="78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row>
    <row r="782">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row>
    <row r="783">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row>
    <row r="784">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row>
    <row r="785">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row>
    <row r="786">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row>
    <row r="787">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row>
    <row r="788">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row>
    <row r="789">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row>
    <row r="790">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row>
    <row r="79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row>
    <row r="792">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row>
    <row r="793">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row>
    <row r="794">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row>
    <row r="795">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row>
    <row r="796">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row>
    <row r="797">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row>
    <row r="798">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row>
    <row r="799">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row>
    <row r="800">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row>
    <row r="80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row>
    <row r="802">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row>
    <row r="803">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row>
    <row r="804">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row>
    <row r="805">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row>
    <row r="806">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row>
    <row r="807">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row>
    <row r="808">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row>
    <row r="809">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row>
    <row r="810">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row>
    <row r="81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row>
    <row r="812">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row>
    <row r="813">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row>
    <row r="814">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row>
    <row r="815">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row>
    <row r="816">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row>
    <row r="817">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row>
    <row r="818">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row>
    <row r="819">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row>
    <row r="820">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row>
    <row r="82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row>
    <row r="822">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row>
    <row r="823">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row>
    <row r="824">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row>
    <row r="825">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row>
    <row r="826">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row>
    <row r="827">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row>
    <row r="828">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row>
    <row r="829">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row>
    <row r="830">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row>
    <row r="83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row>
    <row r="832">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row>
    <row r="833">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row>
    <row r="834">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row>
    <row r="835">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row>
    <row r="836">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row>
    <row r="837">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row>
    <row r="838">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row>
    <row r="839">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row>
    <row r="840">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row>
    <row r="84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row>
    <row r="842">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row>
    <row r="843">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row>
    <row r="844">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row>
    <row r="845">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row>
    <row r="846">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row>
    <row r="847">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row>
    <row r="848">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row>
    <row r="849">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row>
    <row r="850">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row>
    <row r="85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row>
    <row r="852">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row>
    <row r="853">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row>
    <row r="854">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row>
    <row r="855">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row>
    <row r="856">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row>
    <row r="857">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row>
    <row r="858">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row>
    <row r="859">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row>
    <row r="860">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row>
    <row r="86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row>
    <row r="862">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row>
    <row r="863">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row>
    <row r="864">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row>
    <row r="865">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row>
    <row r="866">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row>
    <row r="867">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row>
    <row r="868">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row>
    <row r="869">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row>
    <row r="870">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row>
    <row r="87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row>
    <row r="872">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row>
    <row r="873">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row>
    <row r="874">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row>
    <row r="875">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row>
    <row r="876">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row>
    <row r="877">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row>
    <row r="878">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row>
    <row r="879">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row>
    <row r="880">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row>
    <row r="88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row>
    <row r="882">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row>
    <row r="883">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row>
    <row r="884">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row>
    <row r="885">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row>
    <row r="886">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row>
    <row r="887">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row>
    <row r="888">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row>
    <row r="889">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row>
    <row r="890">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row>
    <row r="891">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row>
    <row r="892">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row>
    <row r="893">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row>
    <row r="894">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row>
    <row r="895">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row>
    <row r="896">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row>
    <row r="897">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row>
    <row r="898">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row>
    <row r="899">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row>
    <row r="900">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row>
    <row r="901">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row>
    <row r="902">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row>
    <row r="903">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row>
    <row r="904">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row>
    <row r="905">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row>
    <row r="906">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row>
    <row r="907">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row>
    <row r="908">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row>
    <row r="909">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row>
    <row r="910">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row>
    <row r="911">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row>
    <row r="912">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row>
    <row r="913">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row>
    <row r="914">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row>
    <row r="915">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row>
    <row r="916">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row>
    <row r="917">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row>
    <row r="918">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row>
    <row r="919">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row>
    <row r="920">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row>
    <row r="921">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row>
    <row r="922">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row>
    <row r="923">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row>
    <row r="924">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row>
    <row r="925">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row>
    <row r="926">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row>
    <row r="927">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row>
    <row r="928">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row>
    <row r="929">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row>
    <row r="930">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row>
    <row r="931">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row>
    <row r="932">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row>
    <row r="933">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row>
    <row r="934">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row>
    <row r="935">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row>
    <row r="936">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row>
    <row r="937">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row>
    <row r="938">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row>
    <row r="939">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row>
    <row r="940">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row>
    <row r="941">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row>
    <row r="942">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row>
    <row r="943">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row>
    <row r="944">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row>
    <row r="945">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row>
    <row r="946">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row>
    <row r="947">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row>
    <row r="948">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row>
    <row r="949">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row>
    <row r="950">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row>
    <row r="951">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row>
    <row r="952">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row>
    <row r="953">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row>
    <row r="954">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row>
    <row r="955">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row>
    <row r="956">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row>
    <row r="957">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row>
    <row r="958">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row>
    <row r="959">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row>
    <row r="960">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row>
    <row r="961">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row>
    <row r="962">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row>
    <row r="963">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row>
    <row r="964">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row>
    <row r="965">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row>
    <row r="966">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c r="X966" s="276"/>
      <c r="Y966" s="276"/>
      <c r="Z966" s="276"/>
    </row>
    <row r="967">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c r="X967" s="276"/>
      <c r="Y967" s="276"/>
      <c r="Z967" s="276"/>
    </row>
    <row r="968">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row>
    <row r="969">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row>
    <row r="970">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row>
    <row r="971">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row>
    <row r="972">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row>
    <row r="973">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row>
    <row r="974">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row>
    <row r="975">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row>
    <row r="976">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row>
    <row r="977">
      <c r="A977" s="276"/>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c r="Z977" s="276"/>
    </row>
    <row r="978">
      <c r="A978" s="276"/>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c r="Z978" s="276"/>
    </row>
    <row r="979">
      <c r="A979" s="276"/>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c r="Z979" s="276"/>
    </row>
    <row r="980">
      <c r="A980" s="276"/>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c r="Z980" s="276"/>
    </row>
    <row r="981">
      <c r="A981" s="276"/>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c r="Z981" s="276"/>
    </row>
    <row r="982">
      <c r="A982" s="276"/>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c r="Z982" s="276"/>
    </row>
    <row r="983">
      <c r="A983" s="276"/>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c r="Z983" s="276"/>
    </row>
    <row r="984">
      <c r="A984" s="276"/>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c r="Z984" s="276"/>
    </row>
    <row r="985">
      <c r="A985" s="276"/>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c r="X985" s="276"/>
      <c r="Y985" s="276"/>
      <c r="Z985" s="276"/>
    </row>
    <row r="986">
      <c r="A986" s="276"/>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c r="X986" s="276"/>
      <c r="Y986" s="276"/>
      <c r="Z986" s="276"/>
    </row>
    <row r="987">
      <c r="A987" s="276"/>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c r="X987" s="276"/>
      <c r="Y987" s="276"/>
      <c r="Z987" s="276"/>
    </row>
    <row r="988">
      <c r="A988" s="276"/>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c r="X988" s="276"/>
      <c r="Y988" s="276"/>
      <c r="Z988" s="276"/>
    </row>
    <row r="989">
      <c r="A989" s="276"/>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c r="X989" s="276"/>
      <c r="Y989" s="276"/>
      <c r="Z989" s="276"/>
    </row>
    <row r="990">
      <c r="A990" s="276"/>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c r="X990" s="276"/>
      <c r="Y990" s="276"/>
      <c r="Z990" s="276"/>
    </row>
    <row r="991">
      <c r="A991" s="276"/>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c r="X991" s="276"/>
      <c r="Y991" s="276"/>
      <c r="Z991" s="276"/>
    </row>
    <row r="992">
      <c r="A992" s="276"/>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c r="X992" s="276"/>
      <c r="Y992" s="276"/>
      <c r="Z992" s="276"/>
    </row>
    <row r="993">
      <c r="A993" s="276"/>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c r="X993" s="276"/>
      <c r="Y993" s="276"/>
      <c r="Z993" s="276"/>
    </row>
    <row r="994">
      <c r="A994" s="276"/>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c r="X994" s="276"/>
      <c r="Y994" s="276"/>
      <c r="Z994" s="276"/>
    </row>
    <row r="995">
      <c r="A995" s="276"/>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c r="Z995" s="276"/>
    </row>
    <row r="996">
      <c r="A996" s="276"/>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c r="Z996" s="276"/>
    </row>
    <row r="997">
      <c r="A997" s="276"/>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c r="Z997" s="276"/>
    </row>
    <row r="998">
      <c r="A998" s="276"/>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c r="Z998" s="276"/>
    </row>
    <row r="999">
      <c r="A999" s="276"/>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c r="Z999" s="276"/>
    </row>
    <row r="1000">
      <c r="A1000" s="276"/>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c r="Z1000" s="276"/>
    </row>
  </sheetData>
  <autoFilter ref="$A$1:$H$1000"/>
  <mergeCells count="134">
    <mergeCell ref="G38:G41"/>
    <mergeCell ref="H38:H41"/>
    <mergeCell ref="D28:D30"/>
    <mergeCell ref="E28:E30"/>
    <mergeCell ref="F28:F30"/>
    <mergeCell ref="G28:G30"/>
    <mergeCell ref="H28:H30"/>
    <mergeCell ref="E38:E41"/>
    <mergeCell ref="F38:F41"/>
    <mergeCell ref="E58:E60"/>
    <mergeCell ref="F58:F60"/>
    <mergeCell ref="G58:G60"/>
    <mergeCell ref="H58:H60"/>
    <mergeCell ref="E49:E51"/>
    <mergeCell ref="D55:D57"/>
    <mergeCell ref="E55:E57"/>
    <mergeCell ref="F55:F57"/>
    <mergeCell ref="G55:G57"/>
    <mergeCell ref="H55:H57"/>
    <mergeCell ref="D58:D60"/>
    <mergeCell ref="A23:A26"/>
    <mergeCell ref="A28:A30"/>
    <mergeCell ref="A38:A41"/>
    <mergeCell ref="A43:A44"/>
    <mergeCell ref="A49:A51"/>
    <mergeCell ref="A55:A57"/>
    <mergeCell ref="A58:A60"/>
    <mergeCell ref="A90:A91"/>
    <mergeCell ref="A101:A102"/>
    <mergeCell ref="A103:A105"/>
    <mergeCell ref="A106:A108"/>
    <mergeCell ref="A109:A111"/>
    <mergeCell ref="A114:A116"/>
    <mergeCell ref="A61:A62"/>
    <mergeCell ref="A63:A65"/>
    <mergeCell ref="A70:A72"/>
    <mergeCell ref="A74:A75"/>
    <mergeCell ref="A76:A80"/>
    <mergeCell ref="A81:A86"/>
    <mergeCell ref="A88:A89"/>
    <mergeCell ref="F4:F6"/>
    <mergeCell ref="G4:G6"/>
    <mergeCell ref="A2:B3"/>
    <mergeCell ref="C2:C3"/>
    <mergeCell ref="D2:D3"/>
    <mergeCell ref="E2:E3"/>
    <mergeCell ref="F2:F3"/>
    <mergeCell ref="G2:H3"/>
    <mergeCell ref="A4:A6"/>
    <mergeCell ref="H4:H6"/>
    <mergeCell ref="F17:F18"/>
    <mergeCell ref="G17:G18"/>
    <mergeCell ref="D4:D6"/>
    <mergeCell ref="E4:E6"/>
    <mergeCell ref="A15:A16"/>
    <mergeCell ref="F15:F16"/>
    <mergeCell ref="G15:G16"/>
    <mergeCell ref="H15:H16"/>
    <mergeCell ref="A17:A18"/>
    <mergeCell ref="H17:H18"/>
    <mergeCell ref="E15:E16"/>
    <mergeCell ref="E17:E18"/>
    <mergeCell ref="D23:D26"/>
    <mergeCell ref="E23:E26"/>
    <mergeCell ref="F23:F26"/>
    <mergeCell ref="G23:G26"/>
    <mergeCell ref="H23:H26"/>
    <mergeCell ref="E43:E44"/>
    <mergeCell ref="F43:F44"/>
    <mergeCell ref="G43:G44"/>
    <mergeCell ref="H43:H44"/>
    <mergeCell ref="F49:F51"/>
    <mergeCell ref="G49:G51"/>
    <mergeCell ref="H49:H51"/>
    <mergeCell ref="E74:E75"/>
    <mergeCell ref="F74:F75"/>
    <mergeCell ref="G106:G108"/>
    <mergeCell ref="H106:H108"/>
    <mergeCell ref="E101:E102"/>
    <mergeCell ref="D103:D105"/>
    <mergeCell ref="E103:E105"/>
    <mergeCell ref="F103:F105"/>
    <mergeCell ref="G103:G105"/>
    <mergeCell ref="H103:H105"/>
    <mergeCell ref="D106:D108"/>
    <mergeCell ref="G114:G116"/>
    <mergeCell ref="H114:H116"/>
    <mergeCell ref="E109:E111"/>
    <mergeCell ref="F109:F111"/>
    <mergeCell ref="G109:G111"/>
    <mergeCell ref="H109:H111"/>
    <mergeCell ref="D114:D116"/>
    <mergeCell ref="E114:E116"/>
    <mergeCell ref="F114:F116"/>
    <mergeCell ref="D61:D62"/>
    <mergeCell ref="E61:E62"/>
    <mergeCell ref="F61:F62"/>
    <mergeCell ref="G61:G62"/>
    <mergeCell ref="H61:H62"/>
    <mergeCell ref="E63:E65"/>
    <mergeCell ref="F63:F65"/>
    <mergeCell ref="G74:G75"/>
    <mergeCell ref="H74:H75"/>
    <mergeCell ref="G63:G65"/>
    <mergeCell ref="H63:H65"/>
    <mergeCell ref="E70:E72"/>
    <mergeCell ref="F70:F72"/>
    <mergeCell ref="G70:G72"/>
    <mergeCell ref="H70:H72"/>
    <mergeCell ref="D74:D75"/>
    <mergeCell ref="G81:G86"/>
    <mergeCell ref="H81:H86"/>
    <mergeCell ref="G88:G89"/>
    <mergeCell ref="H88:H89"/>
    <mergeCell ref="G90:G91"/>
    <mergeCell ref="H90:H91"/>
    <mergeCell ref="G101:G102"/>
    <mergeCell ref="H101:H102"/>
    <mergeCell ref="D76:D80"/>
    <mergeCell ref="E76:E80"/>
    <mergeCell ref="F76:F80"/>
    <mergeCell ref="G76:G80"/>
    <mergeCell ref="H76:H80"/>
    <mergeCell ref="C81:C86"/>
    <mergeCell ref="D81:D86"/>
    <mergeCell ref="E81:E86"/>
    <mergeCell ref="F81:F86"/>
    <mergeCell ref="E88:E89"/>
    <mergeCell ref="F88:F89"/>
    <mergeCell ref="E90:E91"/>
    <mergeCell ref="F90:F91"/>
    <mergeCell ref="F101:F102"/>
    <mergeCell ref="E106:E108"/>
    <mergeCell ref="F106:F108"/>
  </mergeCells>
  <drawing r:id="rId1"/>
</worksheet>
</file>